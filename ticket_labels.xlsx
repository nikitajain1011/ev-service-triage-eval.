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Tickets" sheetId="2" state="visible" r:id="rId2"/>
    <sheet xmlns:r="http://schemas.openxmlformats.org/officeDocument/2006/relationships" name="Lists" sheetId="3" state="visible" r:id="rId3"/>
  </sheets>
  <definedNames>
    <definedName name="_xlnm._FilterDatabase" localSheetId="1" hidden="1">'Tickets'!$A$1:$O$201</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1"/>
    </font>
    <font>
      <name val="Arial"/>
      <charset val="1"/>
      <family val="0"/>
      <b val="1"/>
      <sz val="11"/>
    </font>
    <font>
      <name val="Arial"/>
      <charset val="1"/>
      <family val="0"/>
      <b val="1"/>
      <i val="1"/>
      <sz val="11"/>
    </font>
    <font>
      <name val="Arial"/>
      <charset val="1"/>
      <family val="0"/>
      <b val="1"/>
      <color rgb="FFFFFFFF"/>
      <sz val="11"/>
    </font>
  </fonts>
  <fills count="4">
    <fill>
      <patternFill/>
    </fill>
    <fill>
      <patternFill patternType="gray125"/>
    </fill>
    <fill>
      <patternFill patternType="solid">
        <fgColor rgb="FF1F3A5F"/>
        <bgColor rgb="FF333333"/>
      </patternFill>
    </fill>
    <fill>
      <patternFill patternType="solid">
        <fgColor rgb="FFFFF2CC"/>
        <bgColor rgb="FFFCE5CD"/>
      </patternFill>
    </fill>
  </fills>
  <borders count="2">
    <border>
      <left/>
      <right/>
      <top/>
      <bottom/>
      <diagonal/>
    </border>
    <border>
      <left/>
      <right/>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2" borderId="0"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2" borderId="0"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D9EAD3"/>
          <bgColor rgb="FF000000"/>
        </patternFill>
      </fill>
    </dxf>
    <dxf>
      <fill>
        <patternFill patternType="solid">
          <fgColor rgb="FFFCE5CD"/>
          <bgColor rgb="FF000000"/>
        </patternFill>
      </fill>
    </dxf>
    <dxf>
      <fill>
        <patternFill patternType="solid">
          <fgColor rgb="FF274E13"/>
          <bgColor rgb="FF000000"/>
        </patternFill>
      </fill>
    </dxf>
    <dxf>
      <fill>
        <patternFill patternType="solid">
          <fgColor rgb="FF7F4F00"/>
          <bgColor rgb="FF000000"/>
        </patternFill>
      </fill>
    </dxf>
    <dxf>
      <font>
        <name val="Arial"/>
        <charset val="1"/>
        <family val="0"/>
        <b val="1"/>
        <color rgb="FF990000"/>
      </font>
      <fill>
        <patternFill>
          <bgColor rgb="FFF4CCCC"/>
        </patternFill>
      </fill>
    </dxf>
    <dxf>
      <font>
        <name val="Arial"/>
        <charset val="1"/>
        <family val="0"/>
        <color rgb="FF7F4F00"/>
      </font>
      <fill>
        <patternFill>
          <bgColor rgb="FFFCE5CD"/>
        </patternFill>
      </fill>
    </dxf>
    <dxf>
      <font>
        <name val="Arial"/>
        <charset val="1"/>
        <family val="0"/>
        <color rgb="FF274E13"/>
      </font>
      <fill>
        <patternFill>
          <bgColor rgb="FFD9EAD3"/>
        </patternFill>
      </fill>
    </dxf>
    <dxf>
      <fill>
        <patternFill>
          <bgColor rgb="FFEEEEE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2CC"/>
      <rgbColor rgb="FFEEEEE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274E13"/>
      <rgbColor rgb="FF7F4F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 min="1" max="1"/>
    <col width="90" customWidth="1" style="12" min="2" max="2"/>
  </cols>
  <sheetData>
    <row r="1" ht="17.25" customHeight="1" s="13">
      <c r="A1" s="14" t="inlineStr">
        <is>
          <t>Service ticket labeling sheet</t>
        </is>
      </c>
      <c r="B1" s="15" t="n"/>
    </row>
    <row r="2" ht="26.25" customHeight="1" s="13">
      <c r="A2" s="16" t="inlineStr">
        <is>
          <t>What to do</t>
        </is>
      </c>
      <c r="B2" s="15" t="inlineStr">
        <is>
          <t>On the Tickets tab, fill in the yellow columns (H to N) for each ticket using the Service Ticket Labeling Guide and its Cheat sheet tab. Every yellow cell except notes has a drop-down.</t>
        </is>
      </c>
    </row>
    <row r="3" ht="15" customHeight="1" s="13">
      <c r="A3" s="16" t="inlineStr">
        <is>
          <t>category</t>
        </is>
      </c>
      <c r="B3" s="15" t="inlineStr">
        <is>
          <t>One of the 8 categories.</t>
        </is>
      </c>
    </row>
    <row r="4" ht="26.25" customHeight="1" s="13">
      <c r="A4" s="16" t="inlineStr">
        <is>
          <t>alt_category</t>
        </is>
      </c>
      <c r="B4" s="15" t="inlineStr">
        <is>
          <t>Optional. A second category the AI also gets credit for. Use only when the ticket text honestly supports two categories. Leave blank on most tickets.</t>
        </is>
      </c>
    </row>
    <row r="5" ht="15" customHeight="1" s="13">
      <c r="A5" s="16" t="inlineStr">
        <is>
          <t>priority</t>
        </is>
      </c>
      <c r="B5" s="15" t="inlineStr">
        <is>
          <t>P1, P2 or P3.</t>
        </is>
      </c>
    </row>
    <row r="6" ht="26.25" customHeight="1" s="13">
      <c r="A6" s="16" t="inlineStr">
        <is>
          <t>safety_critical</t>
        </is>
      </c>
      <c r="B6" s="15" t="inlineStr">
        <is>
          <t>Yes or No. Before choosing No, check the five safety areas: control, power, fire, visibility, crash protection.</t>
        </is>
      </c>
    </row>
    <row r="7" ht="15" customHeight="1" s="13">
      <c r="A7" s="16" t="inlineStr">
        <is>
          <t>next_step</t>
        </is>
      </c>
      <c r="B7" s="15" t="inlineStr">
        <is>
          <t>One of the 6 next steps: the best first action.</t>
        </is>
      </c>
    </row>
    <row r="8" ht="15" customHeight="1" s="13">
      <c r="A8" s="16" t="inlineStr">
        <is>
          <t>hesitated</t>
        </is>
      </c>
      <c r="B8" s="15" t="inlineStr">
        <is>
          <t>Pick ? if you weren't sure. These cases become new rules in the guide.</t>
        </is>
      </c>
    </row>
    <row r="9" ht="15" customHeight="1" s="13">
      <c r="A9" s="16" t="inlineStr">
        <is>
          <t>notes</t>
        </is>
      </c>
      <c r="B9" s="15" t="inlineStr">
        <is>
          <t>Optional: one line on why, especially for anything marked ?.</t>
        </is>
      </c>
    </row>
    <row r="10" ht="51.75" customHeight="1" s="13">
      <c r="A10" s="16" t="inlineStr">
        <is>
          <t>check</t>
        </is>
      </c>
      <c r="B10" s="15" t="inlineStr">
        <is>
          <t>Fills in by itself; don't type here. Red = Error: the labels break a rule, fix them. Orange = Check: usually a mistake but can be right (a stranded customer is P1 with safety No); re-read and keep your label if it's right. Green = OK. It only catches labels that contradict each other, not a misread ticket.</t>
        </is>
      </c>
    </row>
    <row r="11" ht="26.25" customHeight="1" s="13">
      <c r="A11" s="16" t="inlineStr">
        <is>
          <t>Do not edit</t>
        </is>
      </c>
      <c r="B11" s="15" t="inlineStr">
        <is>
          <t>Columns A to G are the ticket itself (what the AI will see). For tickets you write yourself, fill B to G too.</t>
        </is>
      </c>
    </row>
    <row r="12" ht="15" customHeight="1" s="13">
      <c r="A12" s="16" t="inlineStr">
        <is>
          <t>Progress</t>
        </is>
      </c>
      <c r="B12" s="15">
        <f>COUNTA(Tickets!H2:H201)&amp;" of "&amp;COUNTA(Tickets!A2:A201)&amp;" tickets have a category"</f>
        <v/>
      </c>
    </row>
    <row r="13" ht="15" customHeight="1" s="13">
      <c r="A13" s="16" t="n"/>
      <c r="B13" s="15" t="n"/>
    </row>
    <row r="14" ht="15" customHeight="1" s="13">
      <c r="A14" s="17" t="inlineStr">
        <is>
          <t>Example (not a real ticket)</t>
        </is>
      </c>
      <c r="B14" s="15" t="n"/>
    </row>
    <row r="15" ht="15" customHeight="1" s="13">
      <c r="A15" s="16" t="inlineStr">
        <is>
          <t>Ticket</t>
        </is>
      </c>
      <c r="B15" s="15" t="inlineStr">
        <is>
          <t>"Bluetooth keeps disconnecting from my phone every few minutes."</t>
        </is>
      </c>
    </row>
    <row r="16" ht="15" customHeight="1" s="13">
      <c r="A16" s="16" t="inlineStr">
        <is>
          <t>Labels</t>
        </is>
      </c>
      <c r="B16" s="15" t="inlineStr">
        <is>
          <t>Software &amp; infotainment | alt: blank | P3 | No | Remote diagnosis or software fix | hesitated: blank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201"/>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0"/>
  <cols>
    <col width="10" customWidth="1" style="12" min="1" max="1"/>
    <col width="9" customWidth="1" style="12" min="2" max="2"/>
    <col width="11" customWidth="1" style="12" min="3" max="3"/>
    <col width="8" customWidth="1" style="12" min="4" max="4"/>
    <col width="12" customWidth="1" style="12" min="5" max="5"/>
    <col width="10" customWidth="1" style="12" min="6" max="6"/>
    <col width="70" customWidth="1" style="12" min="7" max="7"/>
    <col width="30" customWidth="1" style="12" min="8" max="8"/>
    <col width="26" customWidth="1" style="12" min="9" max="9"/>
    <col width="9" customWidth="1" style="12" min="10" max="10"/>
    <col width="15" customWidth="1" style="12" min="11" max="11"/>
    <col width="38" customWidth="1" style="12" min="12" max="12"/>
    <col width="11" customWidth="1" style="12" min="13" max="13"/>
    <col width="45" customWidth="1" style="12" min="14" max="14"/>
    <col width="48" customWidth="1" style="12" min="15" max="15"/>
  </cols>
  <sheetData>
    <row r="1" ht="26.25" customHeight="1" s="13">
      <c r="A1" s="18" t="inlineStr">
        <is>
          <t>ticket_id</t>
        </is>
      </c>
      <c r="B1" s="18" t="inlineStr">
        <is>
          <t>channel</t>
        </is>
      </c>
      <c r="C1" s="18" t="inlineStr">
        <is>
          <t>model_year</t>
        </is>
      </c>
      <c r="D1" s="18" t="inlineStr">
        <is>
          <t>model</t>
        </is>
      </c>
      <c r="E1" s="18" t="inlineStr">
        <is>
          <t>odometer_mi</t>
        </is>
      </c>
      <c r="F1" s="18" t="inlineStr">
        <is>
          <t>drivable</t>
        </is>
      </c>
      <c r="G1" s="18" t="inlineStr">
        <is>
          <t>customer_description</t>
        </is>
      </c>
      <c r="H1" s="18" t="inlineStr">
        <is>
          <t>category</t>
        </is>
      </c>
      <c r="I1" s="18" t="inlineStr">
        <is>
          <t>alt_category</t>
        </is>
      </c>
      <c r="J1" s="18" t="inlineStr">
        <is>
          <t>priority</t>
        </is>
      </c>
      <c r="K1" s="18" t="inlineStr">
        <is>
          <t>safety_critical</t>
        </is>
      </c>
      <c r="L1" s="18" t="inlineStr">
        <is>
          <t>next_step</t>
        </is>
      </c>
      <c r="M1" s="18" t="inlineStr">
        <is>
          <t>hesitated</t>
        </is>
      </c>
      <c r="N1" s="18" t="inlineStr">
        <is>
          <t>notes</t>
        </is>
      </c>
      <c r="O1" s="18" t="inlineStr">
        <is>
          <t>check</t>
        </is>
      </c>
    </row>
    <row r="2" ht="39" customHeight="1" s="13">
      <c r="A2" s="19" t="inlineStr">
        <is>
          <t>T-001</t>
        </is>
      </c>
      <c r="B2" s="19" t="inlineStr">
        <is>
          <t>App</t>
        </is>
      </c>
      <c r="C2" s="19" t="n">
        <v>2024</v>
      </c>
      <c r="D2" s="19" t="inlineStr">
        <is>
          <t>R1S</t>
        </is>
      </c>
      <c r="E2" s="20" t="n">
        <v>18200</v>
      </c>
      <c r="F2" s="19" t="inlineStr">
        <is>
          <t>unknown</t>
        </is>
      </c>
      <c r="G2" s="19" t="inlineStr">
        <is>
          <t>Steering wheel shook pretty hard on the highway at about 70, then a warning flashed on the dash and went away before I could read it. Feels normal now. Should I be worried?</t>
        </is>
      </c>
      <c r="H2" s="21" t="inlineStr">
        <is>
          <t>Chassis</t>
        </is>
      </c>
      <c r="I2" s="21" t="n"/>
      <c r="J2" s="21" t="inlineStr">
        <is>
          <t>P1</t>
        </is>
      </c>
      <c r="K2" s="21" t="inlineStr">
        <is>
          <t>Yes</t>
        </is>
      </c>
      <c r="L2" s="21" t="inlineStr">
        <is>
          <t>Schedule service center visit</t>
        </is>
      </c>
      <c r="M2" s="21" t="n"/>
      <c r="N2" s="21" t="inlineStr">
        <is>
          <t>Revised Oct 25 after review: steering is safety-critical; stopped steering problem stays P1</t>
        </is>
      </c>
      <c r="O2" s="19">
        <f>IF(COUNTA(H2,J2:L2)=0,"",IF(COUNTA(H2,J2:L2)&lt;4,"Incomplete: fill all four labels",IF(AND(K2="Yes",J2="P3"),"Error: safety Yes can't be P3",IF(AND(K2="Yes",L2="Explain to customer (no repair needed)"),"Error: safety Yes needs a repair, not explain",IF(AND(I2&lt;&gt;"",I2=H2),"Error: alt_category is the same as category",IF(AND(J2="P1",K2="No"),"Check: P1 with safety No is only OK if the customer is stranded",IF(AND(L2="Stop driving + roadside assistance",K2="No"),"Check: roadside with safety No is only OK if stuck somewhere unsafe",IF(AND(H2="Other / Unclear",L2&lt;&gt;"Contact customer for more information"),"Check: unclear tickets usually need contact customer",IF(AND(L2="Explain to customer (no repair needed)",J2&lt;&gt;"P3"),"Check: no repair needed is usually P3","OK")))))))))</f>
        <v/>
      </c>
    </row>
    <row r="3" ht="26.25" customHeight="1" s="13">
      <c r="A3" s="19" t="inlineStr">
        <is>
          <t>T-002</t>
        </is>
      </c>
      <c r="B3" s="19" t="inlineStr">
        <is>
          <t>Phone</t>
        </is>
      </c>
      <c r="C3" s="19" t="n">
        <v>2023</v>
      </c>
      <c r="D3" s="19" t="inlineStr">
        <is>
          <t>R1T</t>
        </is>
      </c>
      <c r="E3" s="20" t="n">
        <v>31000</v>
      </c>
      <c r="F3" s="19" t="inlineStr">
        <is>
          <t>yes</t>
        </is>
      </c>
      <c r="G3" s="19" t="inlineStr">
        <is>
          <t>The brake hold feature is driving me crazy. The truck holds at every stop light and I want it off by default. Is there a setting for that?</t>
        </is>
      </c>
      <c r="H3" s="21" t="inlineStr">
        <is>
          <t>Software &amp; infotainment</t>
        </is>
      </c>
      <c r="I3" s="21" t="n"/>
      <c r="J3" s="21" t="inlineStr">
        <is>
          <t>P3</t>
        </is>
      </c>
      <c r="K3" s="21" t="inlineStr">
        <is>
          <t>No</t>
        </is>
      </c>
      <c r="L3" s="21" t="inlineStr">
        <is>
          <t>Explain to customer (no repair needed)</t>
        </is>
      </c>
      <c r="M3" s="21" t="n"/>
      <c r="N3" s="21" t="inlineStr">
        <is>
          <t>Revised Oct 25 after review: setting request on a working feature</t>
        </is>
      </c>
      <c r="O3" s="19">
        <f>IF(COUNTA(H3,J3:L3)=0,"",IF(COUNTA(H3,J3:L3)&lt;4,"Incomplete: fill all four labels",IF(AND(K3="Yes",J3="P3"),"Error: safety Yes can't be P3",IF(AND(K3="Yes",L3="Explain to customer (no repair needed)"),"Error: safety Yes needs a repair, not explain",IF(AND(I3&lt;&gt;"",I3=H3),"Error: alt_category is the same as category",IF(AND(J3="P1",K3="No"),"Check: P1 with safety No is only OK if the customer is stranded",IF(AND(L3="Stop driving + roadside assistance",K3="No"),"Check: roadside with safety No is only OK if stuck somewhere unsafe",IF(AND(H3="Other / Unclear",L3&lt;&gt;"Contact customer for more information"),"Check: unclear tickets usually need contact customer",IF(AND(L3="Explain to customer (no repair needed)",J3&lt;&gt;"P3"),"Check: no repair needed is usually P3","OK")))))))))</f>
        <v/>
      </c>
    </row>
    <row r="4" ht="51.75" customHeight="1" s="13">
      <c r="A4" s="19" t="inlineStr">
        <is>
          <t>T-003</t>
        </is>
      </c>
      <c r="B4" s="19" t="inlineStr">
        <is>
          <t>App</t>
        </is>
      </c>
      <c r="C4" s="19" t="n">
        <v>2024</v>
      </c>
      <c r="D4" s="19" t="inlineStr">
        <is>
          <t>R1T</t>
        </is>
      </c>
      <c r="E4" s="20" t="n">
        <v>12400</v>
      </c>
      <c r="F4" s="19" t="inlineStr">
        <is>
          <t>yes</t>
        </is>
      </c>
      <c r="G4" s="19" t="inlineStr">
        <is>
          <t>Charging at home stops after about 10 minutes every night and the charger light turns red. Public fast chargers work fine.</t>
        </is>
      </c>
      <c r="H4" s="21" t="inlineStr">
        <is>
          <t>Charging</t>
        </is>
      </c>
      <c r="I4" s="21" t="n"/>
      <c r="J4" s="21" t="inlineStr">
        <is>
          <t>P2</t>
        </is>
      </c>
      <c r="K4" s="21" t="inlineStr">
        <is>
          <t>No</t>
        </is>
      </c>
      <c r="L4" s="21" t="inlineStr">
        <is>
          <t>Schedule service center visit</t>
        </is>
      </c>
      <c r="M4" s="21" t="inlineStr">
        <is>
          <t>?</t>
        </is>
      </c>
      <c r="N4" s="21" t="inlineStr">
        <is>
          <t>Revised Oct 25 after review: public chargers work, so not the battery; can't charge at home is P2. Next step still open: home charger may be the cause</t>
        </is>
      </c>
      <c r="O4" s="19">
        <f>IF(COUNTA(H4,J4:L4)=0,"",IF(COUNTA(H4,J4:L4)&lt;4,"Incomplete: fill all four labels",IF(AND(K4="Yes",J4="P3"),"Error: safety Yes can't be P3",IF(AND(K4="Yes",L4="Explain to customer (no repair needed)"),"Error: safety Yes needs a repair, not explain",IF(AND(I4&lt;&gt;"",I4=H4),"Error: alt_category is the same as category",IF(AND(J4="P1",K4="No"),"Check: P1 with safety No is only OK if the customer is stranded",IF(AND(L4="Stop driving + roadside assistance",K4="No"),"Check: roadside with safety No is only OK if stuck somewhere unsafe",IF(AND(H4="Other / Unclear",L4&lt;&gt;"Contact customer for more information"),"Check: unclear tickets usually need contact customer",IF(AND(L4="Explain to customer (no repair needed)",J4&lt;&gt;"P3"),"Check: no repair needed is usually P3","OK")))))))))</f>
        <v/>
      </c>
    </row>
    <row r="5" ht="15" customHeight="1" s="13">
      <c r="A5" s="19" t="inlineStr">
        <is>
          <t>T-004</t>
        </is>
      </c>
      <c r="B5" s="19" t="inlineStr">
        <is>
          <t>App</t>
        </is>
      </c>
      <c r="C5" s="19" t="n">
        <v>2023</v>
      </c>
      <c r="D5" s="19" t="inlineStr">
        <is>
          <t>R1S</t>
        </is>
      </c>
      <c r="E5" s="20" t="n">
        <v>40100</v>
      </c>
      <c r="F5" s="19" t="inlineStr">
        <is>
          <t>unknown</t>
        </is>
      </c>
      <c r="G5" s="19" t="inlineStr">
        <is>
          <t>Got a warning light this morning.</t>
        </is>
      </c>
      <c r="H5" s="21" t="inlineStr">
        <is>
          <t>Other / Unclear</t>
        </is>
      </c>
      <c r="I5" s="21" t="n"/>
      <c r="J5" s="21" t="inlineStr">
        <is>
          <t>P2</t>
        </is>
      </c>
      <c r="K5" s="21" t="inlineStr">
        <is>
          <t>No</t>
        </is>
      </c>
      <c r="L5" s="21" t="inlineStr">
        <is>
          <t>Contact customer for more information</t>
        </is>
      </c>
      <c r="M5" s="21" t="n"/>
      <c r="N5" s="21" t="n"/>
      <c r="O5" s="19">
        <f>IF(COUNTA(H5,J5:L5)=0,"",IF(COUNTA(H5,J5:L5)&lt;4,"Incomplete: fill all four labels",IF(AND(K5="Yes",J5="P3"),"Error: safety Yes can't be P3",IF(AND(K5="Yes",L5="Explain to customer (no repair needed)"),"Error: safety Yes needs a repair, not explain",IF(AND(I5&lt;&gt;"",I5=H5),"Error: alt_category is the same as category",IF(AND(J5="P1",K5="No"),"Check: P1 with safety No is only OK if the customer is stranded",IF(AND(L5="Stop driving + roadside assistance",K5="No"),"Check: roadside with safety No is only OK if stuck somewhere unsafe",IF(AND(H5="Other / Unclear",L5&lt;&gt;"Contact customer for more information"),"Check: unclear tickets usually need contact customer",IF(AND(L5="Explain to customer (no repair needed)",J5&lt;&gt;"P3"),"Check: no repair needed is usually P3","OK")))))))))</f>
        <v/>
      </c>
    </row>
    <row r="6" ht="26.25" customHeight="1" s="13">
      <c r="A6" s="19" t="inlineStr">
        <is>
          <t>T-005</t>
        </is>
      </c>
      <c r="B6" s="19" t="inlineStr">
        <is>
          <t>App</t>
        </is>
      </c>
      <c r="C6" s="19" t="n">
        <v>2024</v>
      </c>
      <c r="D6" s="19" t="inlineStr">
        <is>
          <t>R1T</t>
        </is>
      </c>
      <c r="E6" s="20" t="n">
        <v>22000</v>
      </c>
      <c r="F6" s="19" t="inlineStr">
        <is>
          <t>yes</t>
        </is>
      </c>
      <c r="G6" s="19" t="inlineStr">
        <is>
          <t>URGENT!!!! Passenger seat heater hasn't worked in 3 days and my wife is freezing. I need this fixed TODAY.</t>
        </is>
      </c>
      <c r="H6" s="21" t="inlineStr">
        <is>
          <t>Body &amp; cabin</t>
        </is>
      </c>
      <c r="I6" s="21" t="n"/>
      <c r="J6" s="21" t="inlineStr">
        <is>
          <t>P3</t>
        </is>
      </c>
      <c r="K6" s="21" t="inlineStr">
        <is>
          <t>No</t>
        </is>
      </c>
      <c r="L6" s="21" t="inlineStr">
        <is>
          <t>Dispatch mobile service</t>
        </is>
      </c>
      <c r="M6" s="21" t="n"/>
      <c r="N6" s="21" t="inlineStr">
        <is>
          <t>Revised Oct 25 after review: tone doesn't change priority; no lift needed</t>
        </is>
      </c>
      <c r="O6" s="19">
        <f>IF(COUNTA(H6,J6:L6)=0,"",IF(COUNTA(H6,J6:L6)&lt;4,"Incomplete: fill all four labels",IF(AND(K6="Yes",J6="P3"),"Error: safety Yes can't be P3",IF(AND(K6="Yes",L6="Explain to customer (no repair needed)"),"Error: safety Yes needs a repair, not explain",IF(AND(I6&lt;&gt;"",I6=H6),"Error: alt_category is the same as category",IF(AND(J6="P1",K6="No"),"Check: P1 with safety No is only OK if the customer is stranded",IF(AND(L6="Stop driving + roadside assistance",K6="No"),"Check: roadside with safety No is only OK if stuck somewhere unsafe",IF(AND(H6="Other / Unclear",L6&lt;&gt;"Contact customer for more information"),"Check: unclear tickets usually need contact customer",IF(AND(L6="Explain to customer (no repair needed)",J6&lt;&gt;"P3"),"Check: no repair needed is usually P3","OK")))))))))</f>
        <v/>
      </c>
    </row>
    <row r="7" ht="39" customHeight="1" s="13">
      <c r="A7" s="19" t="inlineStr">
        <is>
          <t>T-006</t>
        </is>
      </c>
      <c r="B7" s="19" t="inlineStr">
        <is>
          <t>Phone</t>
        </is>
      </c>
      <c r="C7" s="19" t="n">
        <v>2024</v>
      </c>
      <c r="D7" s="19" t="inlineStr">
        <is>
          <t>R1S</t>
        </is>
      </c>
      <c r="E7" s="20" t="n">
        <v>9800</v>
      </c>
      <c r="F7" s="19" t="inlineStr">
        <is>
          <t>no</t>
        </is>
      </c>
      <c r="G7" s="19" t="inlineStr">
        <is>
          <t>Was on the highway and the car suddenly lost power. I coasted to the shoulder. The screen says something about the drive system and it won't go into drive now.</t>
        </is>
      </c>
      <c r="H7" s="21" t="inlineStr">
        <is>
          <t>High-voltage battery &amp; drive</t>
        </is>
      </c>
      <c r="I7" s="21" t="n"/>
      <c r="J7" s="21" t="inlineStr">
        <is>
          <t>P1</t>
        </is>
      </c>
      <c r="K7" s="21" t="inlineStr">
        <is>
          <t>Yes</t>
        </is>
      </c>
      <c r="L7" s="21" t="inlineStr">
        <is>
          <t>Stop driving + roadside assistance</t>
        </is>
      </c>
      <c r="M7" s="21" t="n"/>
      <c r="N7" s="21" t="inlineStr">
        <is>
          <t>Revised Oct 25 after review: ongoing safety problem, car can't move</t>
        </is>
      </c>
      <c r="O7" s="19">
        <f>IF(COUNTA(H7,J7:L7)=0,"",IF(COUNTA(H7,J7:L7)&lt;4,"Incomplete: fill all four labels",IF(AND(K7="Yes",J7="P3"),"Error: safety Yes can't be P3",IF(AND(K7="Yes",L7="Explain to customer (no repair needed)"),"Error: safety Yes needs a repair, not explain",IF(AND(I7&lt;&gt;"",I7=H7),"Error: alt_category is the same as category",IF(AND(J7="P1",K7="No"),"Check: P1 with safety No is only OK if the customer is stranded",IF(AND(L7="Stop driving + roadside assistance",K7="No"),"Check: roadside with safety No is only OK if stuck somewhere unsafe",IF(AND(H7="Other / Unclear",L7&lt;&gt;"Contact customer for more information"),"Check: unclear tickets usually need contact customer",IF(AND(L7="Explain to customer (no repair needed)",J7&lt;&gt;"P3"),"Check: no repair needed is usually P3","OK")))))))))</f>
        <v/>
      </c>
    </row>
    <row r="8" ht="26.25" customHeight="1" s="13">
      <c r="A8" s="19" t="inlineStr">
        <is>
          <t>T-007</t>
        </is>
      </c>
      <c r="B8" s="19" t="inlineStr">
        <is>
          <t>App</t>
        </is>
      </c>
      <c r="C8" s="19" t="n">
        <v>2023</v>
      </c>
      <c r="D8" s="19" t="inlineStr">
        <is>
          <t>R1T</t>
        </is>
      </c>
      <c r="E8" s="20" t="n">
        <v>55000</v>
      </c>
      <c r="F8" s="19" t="inlineStr">
        <is>
          <t>yes</t>
        </is>
      </c>
      <c r="G8" s="19" t="inlineStr">
        <is>
          <t>Grinding noise from the front right wheel. It keeps going even when I take my foot off and coast, and it gets louder the faster I go.</t>
        </is>
      </c>
      <c r="H8" s="21" t="inlineStr">
        <is>
          <t>Chassis</t>
        </is>
      </c>
      <c r="I8" s="21" t="n"/>
      <c r="J8" s="21" t="inlineStr">
        <is>
          <t>P1</t>
        </is>
      </c>
      <c r="K8" s="21" t="inlineStr">
        <is>
          <t>Yes</t>
        </is>
      </c>
      <c r="L8" s="21" t="inlineStr">
        <is>
          <t>Schedule service center visit</t>
        </is>
      </c>
      <c r="M8" s="21" t="n"/>
      <c r="N8" s="21" t="inlineStr">
        <is>
          <t xml:space="preserve">Corrected Oct 28, 2026 in adjudication (both models disagreed; change supported by guide v1): label predated Decision 5 (mild, driver in control → same-day service center). Was: Stop driving + roadside assistance. </t>
        </is>
      </c>
      <c r="O8" s="19">
        <f>IF(COUNTA(H8,J8:L8)=0,"",IF(COUNTA(H8,J8:L8)&lt;4,"Incomplete: fill all four labels",IF(AND(K8="Yes",J8="P3"),"Error: safety Yes can't be P3",IF(AND(K8="Yes",L8="Explain to customer (no repair needed)"),"Error: safety Yes needs a repair, not explain",IF(AND(I8&lt;&gt;"",I8=H8),"Error: alt_category is the same as category",IF(AND(J8="P1",K8="No"),"Check: P1 with safety No is only OK if the customer is stranded",IF(AND(L8="Stop driving + roadside assistance",K8="No"),"Check: roadside with safety No is only OK if stuck somewhere unsafe",IF(AND(H8="Other / Unclear",L8&lt;&gt;"Contact customer for more information"),"Check: unclear tickets usually need contact customer",IF(AND(L8="Explain to customer (no repair needed)",J8&lt;&gt;"P3"),"Check: no repair needed is usually P3","OK")))))))))</f>
        <v/>
      </c>
    </row>
    <row r="9" ht="26.25" customHeight="1" s="13">
      <c r="A9" s="19" t="inlineStr">
        <is>
          <t>T-008</t>
        </is>
      </c>
      <c r="B9" s="19" t="inlineStr">
        <is>
          <t>App</t>
        </is>
      </c>
      <c r="C9" s="19" t="n">
        <v>2024</v>
      </c>
      <c r="D9" s="19" t="inlineStr">
        <is>
          <t>R1S</t>
        </is>
      </c>
      <c r="E9" s="20" t="n">
        <v>15600</v>
      </c>
      <c r="F9" s="19" t="inlineStr">
        <is>
          <t>yes</t>
        </is>
      </c>
      <c r="G9" s="19" t="inlineStr">
        <is>
          <t>Center screen froze on my drive in and rebooted itself. Also the rear liftgate squeaks when it opens.</t>
        </is>
      </c>
      <c r="H9" s="21" t="inlineStr">
        <is>
          <t>Software &amp; infotainment</t>
        </is>
      </c>
      <c r="I9" s="21" t="n"/>
      <c r="J9" s="21" t="inlineStr">
        <is>
          <t>P3</t>
        </is>
      </c>
      <c r="K9" s="21" t="inlineStr">
        <is>
          <t>No</t>
        </is>
      </c>
      <c r="L9" s="21" t="inlineStr">
        <is>
          <t>Remote diagnosis or software fix</t>
        </is>
      </c>
      <c r="M9" s="21" t="n"/>
      <c r="N9" s="21" t="inlineStr">
        <is>
          <t>Corrected Oct 28, 2026 in adjudication (both models disagreed; change supported by guide v1): three-question test gives P3. Was: P2. Revised Oct 25 after review: two problems: label the more serious (screen freeze)</t>
        </is>
      </c>
      <c r="O9" s="19">
        <f>IF(COUNTA(H9,J9:L9)=0,"",IF(COUNTA(H9,J9:L9)&lt;4,"Incomplete: fill all four labels",IF(AND(K9="Yes",J9="P3"),"Error: safety Yes can't be P3",IF(AND(K9="Yes",L9="Explain to customer (no repair needed)"),"Error: safety Yes needs a repair, not explain",IF(AND(I9&lt;&gt;"",I9=H9),"Error: alt_category is the same as category",IF(AND(J9="P1",K9="No"),"Check: P1 with safety No is only OK if the customer is stranded",IF(AND(L9="Stop driving + roadside assistance",K9="No"),"Check: roadside with safety No is only OK if stuck somewhere unsafe",IF(AND(H9="Other / Unclear",L9&lt;&gt;"Contact customer for more information"),"Check: unclear tickets usually need contact customer",IF(AND(L9="Explain to customer (no repair needed)",J9&lt;&gt;"P3"),"Check: no repair needed is usually P3","OK")))))))))</f>
        <v/>
      </c>
    </row>
    <row r="10" ht="26.25" customHeight="1" s="13">
      <c r="A10" s="19" t="inlineStr">
        <is>
          <t>T-009</t>
        </is>
      </c>
      <c r="B10" s="19" t="inlineStr">
        <is>
          <t>App</t>
        </is>
      </c>
      <c r="C10" s="19" t="n">
        <v>2024</v>
      </c>
      <c r="D10" s="19" t="inlineStr">
        <is>
          <t>R1T</t>
        </is>
      </c>
      <c r="E10" s="20" t="n">
        <v>6200</v>
      </c>
      <c r="F10" s="19" t="inlineStr">
        <is>
          <t>yes</t>
        </is>
      </c>
      <c r="G10" s="19" t="inlineStr">
        <is>
          <t>Range has dropped a lot since it got cold. I used to see around 300 miles and now it's about 220 with the heat on.</t>
        </is>
      </c>
      <c r="H10" s="21" t="inlineStr">
        <is>
          <t>High-voltage battery &amp; drive</t>
        </is>
      </c>
      <c r="I10" s="21" t="n"/>
      <c r="J10" s="21" t="inlineStr">
        <is>
          <t>P3</t>
        </is>
      </c>
      <c r="K10" s="21" t="inlineStr">
        <is>
          <t>No</t>
        </is>
      </c>
      <c r="L10" s="21" t="inlineStr">
        <is>
          <t>Explain to customer (no repair needed)</t>
        </is>
      </c>
      <c r="M10" s="21" t="n"/>
      <c r="N10" s="21" t="inlineStr">
        <is>
          <t>Revised Oct 25 after review: range drop with heater is expected behavior</t>
        </is>
      </c>
      <c r="O10" s="19">
        <f>IF(COUNTA(H10,J10:L10)=0,"",IF(COUNTA(H10,J10:L10)&lt;4,"Incomplete: fill all four labels",IF(AND(K10="Yes",J10="P3"),"Error: safety Yes can't be P3",IF(AND(K10="Yes",L10="Explain to customer (no repair needed)"),"Error: safety Yes needs a repair, not explain",IF(AND(I10&lt;&gt;"",I10=H10),"Error: alt_category is the same as category",IF(AND(J10="P1",K10="No"),"Check: P1 with safety No is only OK if the customer is stranded",IF(AND(L10="Stop driving + roadside assistance",K10="No"),"Check: roadside with safety No is only OK if stuck somewhere unsafe",IF(AND(H10="Other / Unclear",L10&lt;&gt;"Contact customer for more information"),"Check: unclear tickets usually need contact customer",IF(AND(L10="Explain to customer (no repair needed)",J10&lt;&gt;"P3"),"Check: no repair needed is usually P3","OK")))))))))</f>
        <v/>
      </c>
    </row>
    <row r="11" ht="26.25" customHeight="1" s="13">
      <c r="A11" s="19" t="inlineStr">
        <is>
          <t>T-010</t>
        </is>
      </c>
      <c r="B11" s="19" t="inlineStr">
        <is>
          <t>Phone</t>
        </is>
      </c>
      <c r="C11" s="19" t="n">
        <v>2023</v>
      </c>
      <c r="D11" s="19" t="inlineStr">
        <is>
          <t>R1S</t>
        </is>
      </c>
      <c r="E11" s="20" t="n">
        <v>28700</v>
      </c>
      <c r="F11" s="19" t="inlineStr">
        <is>
          <t>yes</t>
        </is>
      </c>
      <c r="G11" s="19" t="inlineStr">
        <is>
          <t>Someone backed into me in a parking lot. Rear bumper is cracked and the left taillight is broken.</t>
        </is>
      </c>
      <c r="H11" s="21" t="inlineStr">
        <is>
          <t>Body &amp; cabin</t>
        </is>
      </c>
      <c r="I11" s="21" t="inlineStr">
        <is>
          <t>Electrical (12V)</t>
        </is>
      </c>
      <c r="J11" s="21" t="inlineStr">
        <is>
          <t>P2</t>
        </is>
      </c>
      <c r="K11" s="21" t="inlineStr">
        <is>
          <t>Yes</t>
        </is>
      </c>
      <c r="L11" s="21" t="inlineStr">
        <is>
          <t>Schedule service center visit</t>
        </is>
      </c>
      <c r="M11" s="21" t="n"/>
      <c r="N11" s="21" t="inlineStr">
        <is>
          <t>Corrected Oct 28, 2026 in adjudication (both models disagreed; change supported by guide v1): collision rule and 'any light out' rule conflict, so Electrical added as alt_category. Revised Oct 25 after review: taillight out is safety-critical but P2 (rule 2a)</t>
        </is>
      </c>
      <c r="O11" s="19">
        <f>IF(COUNTA(H11,J11:L11)=0,"",IF(COUNTA(H11,J11:L11)&lt;4,"Incomplete: fill all four labels",IF(AND(K11="Yes",J11="P3"),"Error: safety Yes can't be P3",IF(AND(K11="Yes",L11="Explain to customer (no repair needed)"),"Error: safety Yes needs a repair, not explain",IF(AND(I11&lt;&gt;"",I11=H11),"Error: alt_category is the same as category",IF(AND(J11="P1",K11="No"),"Check: P1 with safety No is only OK if the customer is stranded",IF(AND(L11="Stop driving + roadside assistance",K11="No"),"Check: roadside with safety No is only OK if stuck somewhere unsafe",IF(AND(H11="Other / Unclear",L11&lt;&gt;"Contact customer for more information"),"Check: unclear tickets usually need contact customer",IF(AND(L11="Explain to customer (no repair needed)",J11&lt;&gt;"P3"),"Check: no repair needed is usually P3","OK")))))))))</f>
        <v/>
      </c>
    </row>
    <row r="12" ht="51.75" customHeight="1" s="13">
      <c r="A12" s="19" t="inlineStr">
        <is>
          <t>T-011</t>
        </is>
      </c>
      <c r="B12" s="19" t="inlineStr">
        <is>
          <t>App</t>
        </is>
      </c>
      <c r="C12" s="19" t="n">
        <v>2024</v>
      </c>
      <c r="D12" s="19" t="inlineStr">
        <is>
          <t>R1S</t>
        </is>
      </c>
      <c r="E12" s="20" t="n">
        <v>21300</v>
      </c>
      <c r="F12" s="19" t="inlineStr">
        <is>
          <t>unknown</t>
        </is>
      </c>
      <c r="G12" s="19" t="inlineStr">
        <is>
          <t>It's been taking way longer to stop than it used to. On the hill by my house I have to push the pedal almost to the floor.</t>
        </is>
      </c>
      <c r="H12" s="21" t="inlineStr">
        <is>
          <t>Chassis</t>
        </is>
      </c>
      <c r="I12" s="21" t="n"/>
      <c r="J12" s="21" t="inlineStr">
        <is>
          <t>P1</t>
        </is>
      </c>
      <c r="K12" s="21" t="inlineStr">
        <is>
          <t>Yes</t>
        </is>
      </c>
      <c r="L12" s="21" t="inlineStr">
        <is>
          <t>Stop driving + roadside assistance</t>
        </is>
      </c>
      <c r="M12" s="21" t="n"/>
      <c r="N12" s="21" t="inlineStr">
        <is>
          <t>Revised Oct 25 after review: brakes are safety-critical even without the word 'brakes'; problem is ongoing. Original note: It is difficult to break on the hill but still should get it checked</t>
        </is>
      </c>
      <c r="O12" s="19">
        <f>IF(COUNTA(H12,J12:L12)=0,"",IF(COUNTA(H12,J12:L12)&lt;4,"Incomplete: fill all four labels",IF(AND(K12="Yes",J12="P3"),"Error: safety Yes can't be P3",IF(AND(K12="Yes",L12="Explain to customer (no repair needed)"),"Error: safety Yes needs a repair, not explain",IF(AND(I12&lt;&gt;"",I12=H12),"Error: alt_category is the same as category",IF(AND(J12="P1",K12="No"),"Check: P1 with safety No is only OK if the customer is stranded",IF(AND(L12="Stop driving + roadside assistance",K12="No"),"Check: roadside with safety No is only OK if stuck somewhere unsafe",IF(AND(H12="Other / Unclear",L12&lt;&gt;"Contact customer for more information"),"Check: unclear tickets usually need contact customer",IF(AND(L12="Explain to customer (no repair needed)",J12&lt;&gt;"P3"),"Check: no repair needed is usually P3","OK")))))))))</f>
        <v/>
      </c>
    </row>
    <row r="13" ht="39" customHeight="1" s="13">
      <c r="A13" s="19" t="inlineStr">
        <is>
          <t>T-012</t>
        </is>
      </c>
      <c r="B13" s="19" t="inlineStr">
        <is>
          <t>App</t>
        </is>
      </c>
      <c r="C13" s="19" t="n">
        <v>2023</v>
      </c>
      <c r="D13" s="19" t="inlineStr">
        <is>
          <t>R1T</t>
        </is>
      </c>
      <c r="E13" s="20" t="n">
        <v>47800</v>
      </c>
      <c r="F13" s="19" t="inlineStr">
        <is>
          <t>yes</t>
        </is>
      </c>
      <c r="G13" s="19" t="inlineStr">
        <is>
          <t>Smelled something like burning plastic near the front after a long road trip yesterday. Haven't smelled it since.</t>
        </is>
      </c>
      <c r="H13" s="21" t="inlineStr">
        <is>
          <t>High-voltage battery &amp; drive</t>
        </is>
      </c>
      <c r="I13" s="21" t="n"/>
      <c r="J13" s="21" t="inlineStr">
        <is>
          <t>P1</t>
        </is>
      </c>
      <c r="K13" s="21" t="inlineStr">
        <is>
          <t>Yes</t>
        </is>
      </c>
      <c r="L13" s="21" t="inlineStr">
        <is>
          <t>Schedule service center visit</t>
        </is>
      </c>
      <c r="M13" s="21" t="n"/>
      <c r="N13" s="21" t="inlineStr">
        <is>
          <t>Revised Oct 25 after review: fire risk that stopped stays P1. Original note: Overheating generally leads to this but should get it checked</t>
        </is>
      </c>
      <c r="O13" s="19">
        <f>IF(COUNTA(H13,J13:L13)=0,"",IF(COUNTA(H13,J13:L13)&lt;4,"Incomplete: fill all four labels",IF(AND(K13="Yes",J13="P3"),"Error: safety Yes can't be P3",IF(AND(K13="Yes",L13="Explain to customer (no repair needed)"),"Error: safety Yes needs a repair, not explain",IF(AND(I13&lt;&gt;"",I13=H13),"Error: alt_category is the same as category",IF(AND(J13="P1",K13="No"),"Check: P1 with safety No is only OK if the customer is stranded",IF(AND(L13="Stop driving + roadside assistance",K13="No"),"Check: roadside with safety No is only OK if stuck somewhere unsafe",IF(AND(H13="Other / Unclear",L13&lt;&gt;"Contact customer for more information"),"Check: unclear tickets usually need contact customer",IF(AND(L13="Explain to customer (no repair needed)",J13&lt;&gt;"P3"),"Check: no repair needed is usually P3","OK")))))))))</f>
        <v/>
      </c>
    </row>
    <row r="14" ht="26.25" customHeight="1" s="13">
      <c r="A14" s="19" t="inlineStr">
        <is>
          <t>T-013</t>
        </is>
      </c>
      <c r="B14" s="19" t="inlineStr">
        <is>
          <t>Phone</t>
        </is>
      </c>
      <c r="C14" s="19" t="n">
        <v>2024</v>
      </c>
      <c r="D14" s="19" t="inlineStr">
        <is>
          <t>R1T</t>
        </is>
      </c>
      <c r="E14" s="20" t="n">
        <v>11900</v>
      </c>
      <c r="F14" s="19" t="inlineStr">
        <is>
          <t>yes</t>
        </is>
      </c>
      <c r="G14" s="19" t="inlineStr">
        <is>
          <t>Truck slammed on the brakes by itself on an empty road with nothing in front of me. Scared me and the guy behind me.</t>
        </is>
      </c>
      <c r="H14" s="21" t="inlineStr">
        <is>
          <t>Driver assistance</t>
        </is>
      </c>
      <c r="I14" s="21" t="n"/>
      <c r="J14" s="21" t="inlineStr">
        <is>
          <t>P1</t>
        </is>
      </c>
      <c r="K14" s="21" t="inlineStr">
        <is>
          <t>Yes</t>
        </is>
      </c>
      <c r="L14" s="21" t="inlineStr">
        <is>
          <t>Stop driving + roadside assistance</t>
        </is>
      </c>
      <c r="M14" s="21" t="inlineStr">
        <is>
          <t>?</t>
        </is>
      </c>
      <c r="N14" s="21" t="inlineStr">
        <is>
          <t xml:space="preserve">Can lead to accidents </t>
        </is>
      </c>
      <c r="O14" s="19">
        <f>IF(COUNTA(H14,J14:L14)=0,"",IF(COUNTA(H14,J14:L14)&lt;4,"Incomplete: fill all four labels",IF(AND(K14="Yes",J14="P3"),"Error: safety Yes can't be P3",IF(AND(K14="Yes",L14="Explain to customer (no repair needed)"),"Error: safety Yes needs a repair, not explain",IF(AND(I14&lt;&gt;"",I14=H14),"Error: alt_category is the same as category",IF(AND(J14="P1",K14="No"),"Check: P1 with safety No is only OK if the customer is stranded",IF(AND(L14="Stop driving + roadside assistance",K14="No"),"Check: roadside with safety No is only OK if stuck somewhere unsafe",IF(AND(H14="Other / Unclear",L14&lt;&gt;"Contact customer for more information"),"Check: unclear tickets usually need contact customer",IF(AND(L14="Explain to customer (no repair needed)",J14&lt;&gt;"P3"),"Check: no repair needed is usually P3","OK")))))))))</f>
        <v/>
      </c>
    </row>
    <row r="15" ht="26.25" customHeight="1" s="13">
      <c r="A15" s="19" t="inlineStr">
        <is>
          <t>T-014</t>
        </is>
      </c>
      <c r="B15" s="19" t="inlineStr">
        <is>
          <t>App</t>
        </is>
      </c>
      <c r="C15" s="19" t="n">
        <v>2024</v>
      </c>
      <c r="D15" s="19" t="inlineStr">
        <is>
          <t>R1S</t>
        </is>
      </c>
      <c r="E15" s="20" t="n">
        <v>8400</v>
      </c>
      <c r="F15" s="19" t="inlineStr">
        <is>
          <t>yes</t>
        </is>
      </c>
      <c r="G15" s="19" t="inlineStr">
        <is>
          <t>Lane keep says unavailable when it's pouring rain, then comes back once the rain lets up.</t>
        </is>
      </c>
      <c r="H15" s="21" t="inlineStr">
        <is>
          <t>Driver assistance</t>
        </is>
      </c>
      <c r="I15" s="21" t="n"/>
      <c r="J15" s="21" t="inlineStr">
        <is>
          <t>P3</t>
        </is>
      </c>
      <c r="K15" s="21" t="inlineStr">
        <is>
          <t>No</t>
        </is>
      </c>
      <c r="L15" s="21" t="inlineStr">
        <is>
          <t>Explain to customer (no repair needed)</t>
        </is>
      </c>
      <c r="M15" s="21" t="n"/>
      <c r="N15" s="21" t="inlineStr">
        <is>
          <t>I think lane keep doesn't work well due to rain</t>
        </is>
      </c>
      <c r="O15" s="19">
        <f>IF(COUNTA(H15,J15:L15)=0,"",IF(COUNTA(H15,J15:L15)&lt;4,"Incomplete: fill all four labels",IF(AND(K15="Yes",J15="P3"),"Error: safety Yes can't be P3",IF(AND(K15="Yes",L15="Explain to customer (no repair needed)"),"Error: safety Yes needs a repair, not explain",IF(AND(I15&lt;&gt;"",I15=H15),"Error: alt_category is the same as category",IF(AND(J15="P1",K15="No"),"Check: P1 with safety No is only OK if the customer is stranded",IF(AND(L15="Stop driving + roadside assistance",K15="No"),"Check: roadside with safety No is only OK if stuck somewhere unsafe",IF(AND(H15="Other / Unclear",L15&lt;&gt;"Contact customer for more information"),"Check: unclear tickets usually need contact customer",IF(AND(L15="Explain to customer (no repair needed)",J15&lt;&gt;"P3"),"Check: no repair needed is usually P3","OK")))))))))</f>
        <v/>
      </c>
    </row>
    <row r="16" ht="39" customHeight="1" s="13">
      <c r="A16" s="19" t="inlineStr">
        <is>
          <t>T-015</t>
        </is>
      </c>
      <c r="B16" s="19" t="inlineStr">
        <is>
          <t>App</t>
        </is>
      </c>
      <c r="C16" s="19" t="n">
        <v>2023</v>
      </c>
      <c r="D16" s="19" t="inlineStr">
        <is>
          <t>R1S</t>
        </is>
      </c>
      <c r="E16" s="20" t="n">
        <v>36500</v>
      </c>
      <c r="F16" s="19" t="inlineStr">
        <is>
          <t>no</t>
        </is>
      </c>
      <c r="G16" s="19" t="inlineStr">
        <is>
          <t>Car is completely dead in my driveway. Can't open the doors with the app or the key card. I need to get to work.</t>
        </is>
      </c>
      <c r="H16" s="21" t="inlineStr">
        <is>
          <t>Electrical (12V)</t>
        </is>
      </c>
      <c r="I16" s="21" t="n"/>
      <c r="J16" s="21" t="inlineStr">
        <is>
          <t>P1</t>
        </is>
      </c>
      <c r="K16" s="21" t="inlineStr">
        <is>
          <t>No</t>
        </is>
      </c>
      <c r="L16" s="21" t="inlineStr">
        <is>
          <t>Dispatch mobile service</t>
        </is>
      </c>
      <c r="M16" s="21" t="n"/>
      <c r="N16" s="21" t="inlineStr">
        <is>
          <t>Revised Oct 25 after review: won't wake up → 12V; stranded → P1; dead at home → mobile (Decision 3).</t>
        </is>
      </c>
      <c r="O16" s="19">
        <f>IF(COUNTA(H16,J16:L16)=0,"",IF(COUNTA(H16,J16:L16)&lt;4,"Incomplete: fill all four labels",IF(AND(K16="Yes",J16="P3"),"Error: safety Yes can't be P3",IF(AND(K16="Yes",L16="Explain to customer (no repair needed)"),"Error: safety Yes needs a repair, not explain",IF(AND(I16&lt;&gt;"",I16=H16),"Error: alt_category is the same as category",IF(AND(J16="P1",K16="No"),"Check: P1 with safety No is only OK if the customer is stranded",IF(AND(L16="Stop driving + roadside assistance",K16="No"),"Check: roadside with safety No is only OK if stuck somewhere unsafe",IF(AND(H16="Other / Unclear",L16&lt;&gt;"Contact customer for more information"),"Check: unclear tickets usually need contact customer",IF(AND(L16="Explain to customer (no repair needed)",J16&lt;&gt;"P3"),"Check: no repair needed is usually P3","OK")))))))))</f>
        <v/>
      </c>
    </row>
    <row r="17" ht="15" customHeight="1" s="13">
      <c r="A17" s="19" t="inlineStr">
        <is>
          <t>T-016</t>
        </is>
      </c>
      <c r="B17" s="19" t="inlineStr">
        <is>
          <t>App</t>
        </is>
      </c>
      <c r="C17" s="19" t="n">
        <v>2024</v>
      </c>
      <c r="D17" s="19" t="inlineStr">
        <is>
          <t>R1T</t>
        </is>
      </c>
      <c r="E17" s="20" t="n">
        <v>14200</v>
      </c>
      <c r="F17" s="19" t="inlineStr">
        <is>
          <t>yes</t>
        </is>
      </c>
      <c r="G17" s="19" t="inlineStr">
        <is>
          <t>After the car wash there's water dripping onto the passenger floor mat.</t>
        </is>
      </c>
      <c r="H17" s="21" t="inlineStr">
        <is>
          <t>Body &amp; cabin</t>
        </is>
      </c>
      <c r="I17" s="21" t="n"/>
      <c r="J17" s="21" t="inlineStr">
        <is>
          <t>P2</t>
        </is>
      </c>
      <c r="K17" s="21" t="inlineStr">
        <is>
          <t>No</t>
        </is>
      </c>
      <c r="L17" s="21" t="inlineStr">
        <is>
          <t>Schedule service center visit</t>
        </is>
      </c>
      <c r="M17" s="21" t="n"/>
      <c r="N17" s="21" t="inlineStr">
        <is>
          <t>I think there is a leak not sure of the severity</t>
        </is>
      </c>
      <c r="O17" s="19">
        <f>IF(COUNTA(H17,J17:L17)=0,"",IF(COUNTA(H17,J17:L17)&lt;4,"Incomplete: fill all four labels",IF(AND(K17="Yes",J17="P3"),"Error: safety Yes can't be P3",IF(AND(K17="Yes",L17="Explain to customer (no repair needed)"),"Error: safety Yes needs a repair, not explain",IF(AND(I17&lt;&gt;"",I17=H17),"Error: alt_category is the same as category",IF(AND(J17="P1",K17="No"),"Check: P1 with safety No is only OK if the customer is stranded",IF(AND(L17="Stop driving + roadside assistance",K17="No"),"Check: roadside with safety No is only OK if stuck somewhere unsafe",IF(AND(H17="Other / Unclear",L17&lt;&gt;"Contact customer for more information"),"Check: unclear tickets usually need contact customer",IF(AND(L17="Explain to customer (no repair needed)",J17&lt;&gt;"P3"),"Check: no repair needed is usually P3","OK")))))))))</f>
        <v/>
      </c>
    </row>
    <row r="18" ht="26.25" customHeight="1" s="13">
      <c r="A18" s="19" t="inlineStr">
        <is>
          <t>T-017</t>
        </is>
      </c>
      <c r="B18" s="19" t="inlineStr">
        <is>
          <t>App</t>
        </is>
      </c>
      <c r="C18" s="19" t="n">
        <v>2024</v>
      </c>
      <c r="D18" s="19" t="inlineStr">
        <is>
          <t>R1S</t>
        </is>
      </c>
      <c r="E18" s="20" t="n">
        <v>19700</v>
      </c>
      <c r="F18" s="19" t="inlineStr">
        <is>
          <t>yes</t>
        </is>
      </c>
      <c r="G18" s="19" t="inlineStr">
        <is>
          <t>Tire pressure light came on. Says front left is 38 and the others are 42.</t>
        </is>
      </c>
      <c r="H18" s="21" t="inlineStr">
        <is>
          <t>Chassis</t>
        </is>
      </c>
      <c r="I18" s="21" t="n"/>
      <c r="J18" s="21" t="inlineStr">
        <is>
          <t>P3</t>
        </is>
      </c>
      <c r="K18" s="21" t="inlineStr">
        <is>
          <t>No</t>
        </is>
      </c>
      <c r="L18" s="21" t="inlineStr">
        <is>
          <t>Dispatch mobile service</t>
        </is>
      </c>
      <c r="M18" s="21" t="n"/>
      <c r="N18" s="21" t="inlineStr">
        <is>
          <t>Revised Oct 25 after review: slightly low tire is not safety-critical.</t>
        </is>
      </c>
      <c r="O18" s="19">
        <f>IF(COUNTA(H18,J18:L18)=0,"",IF(COUNTA(H18,J18:L18)&lt;4,"Incomplete: fill all four labels",IF(AND(K18="Yes",J18="P3"),"Error: safety Yes can't be P3",IF(AND(K18="Yes",L18="Explain to customer (no repair needed)"),"Error: safety Yes needs a repair, not explain",IF(AND(I18&lt;&gt;"",I18=H18),"Error: alt_category is the same as category",IF(AND(J18="P1",K18="No"),"Check: P1 with safety No is only OK if the customer is stranded",IF(AND(L18="Stop driving + roadside assistance",K18="No"),"Check: roadside with safety No is only OK if stuck somewhere unsafe",IF(AND(H18="Other / Unclear",L18&lt;&gt;"Contact customer for more information"),"Check: unclear tickets usually need contact customer",IF(AND(L18="Explain to customer (no repair needed)",J18&lt;&gt;"P3"),"Check: no repair needed is usually P3","OK")))))))))</f>
        <v/>
      </c>
    </row>
    <row r="19" ht="51.75" customHeight="1" s="13">
      <c r="A19" s="19" t="inlineStr">
        <is>
          <t>T-018</t>
        </is>
      </c>
      <c r="B19" s="19" t="inlineStr">
        <is>
          <t>Phone</t>
        </is>
      </c>
      <c r="C19" s="19" t="n">
        <v>2023</v>
      </c>
      <c r="D19" s="19" t="inlineStr">
        <is>
          <t>R1T</t>
        </is>
      </c>
      <c r="E19" s="20" t="n">
        <v>29100</v>
      </c>
      <c r="F19" s="19" t="inlineStr">
        <is>
          <t>unknown</t>
        </is>
      </c>
      <c r="G19" s="19" t="inlineStr">
        <is>
          <t>I had brake hold on and the truck rolled backward a little on a hill before I hit the brake.</t>
        </is>
      </c>
      <c r="H19" s="21" t="inlineStr">
        <is>
          <t>Chassis</t>
        </is>
      </c>
      <c r="I19" s="21" t="n"/>
      <c r="J19" s="21" t="inlineStr">
        <is>
          <t>P1</t>
        </is>
      </c>
      <c r="K19" s="21" t="inlineStr">
        <is>
          <t>Yes</t>
        </is>
      </c>
      <c r="L19" s="21" t="inlineStr">
        <is>
          <t>Schedule service center visit</t>
        </is>
      </c>
      <c r="M19" s="21" t="n"/>
      <c r="N19" s="21" t="inlineStr">
        <is>
          <t>Revised Oct 25 after review: feature failed, so safety rules apply, not the settings rule. Original note: Customer should use parking break on a hill</t>
        </is>
      </c>
      <c r="O19" s="19">
        <f>IF(COUNTA(H19,J19:L19)=0,"",IF(COUNTA(H19,J19:L19)&lt;4,"Incomplete: fill all four labels",IF(AND(K19="Yes",J19="P3"),"Error: safety Yes can't be P3",IF(AND(K19="Yes",L19="Explain to customer (no repair needed)"),"Error: safety Yes needs a repair, not explain",IF(AND(I19&lt;&gt;"",I19=H19),"Error: alt_category is the same as category",IF(AND(J19="P1",K19="No"),"Check: P1 with safety No is only OK if the customer is stranded",IF(AND(L19="Stop driving + roadside assistance",K19="No"),"Check: roadside with safety No is only OK if stuck somewhere unsafe",IF(AND(H19="Other / Unclear",L19&lt;&gt;"Contact customer for more information"),"Check: unclear tickets usually need contact customer",IF(AND(L19="Explain to customer (no repair needed)",J19&lt;&gt;"P3"),"Check: no repair needed is usually P3","OK")))))))))</f>
        <v/>
      </c>
    </row>
    <row r="20" ht="39" customHeight="1" s="13">
      <c r="A20" s="19" t="inlineStr">
        <is>
          <t>T-019</t>
        </is>
      </c>
      <c r="B20" s="19" t="inlineStr">
        <is>
          <t>App</t>
        </is>
      </c>
      <c r="C20" s="19" t="n">
        <v>2024</v>
      </c>
      <c r="D20" s="19" t="inlineStr">
        <is>
          <t>R1S</t>
        </is>
      </c>
      <c r="E20" s="20" t="n">
        <v>10300</v>
      </c>
      <c r="F20" s="19" t="inlineStr">
        <is>
          <t>yes</t>
        </is>
      </c>
      <c r="G20" s="19" t="inlineStr">
        <is>
          <t>Scheduled charging in the app is set for midnight but the car starts charging as soon as I plug in.</t>
        </is>
      </c>
      <c r="H20" s="21" t="inlineStr">
        <is>
          <t>Software &amp; infotainment</t>
        </is>
      </c>
      <c r="I20" s="21" t="n"/>
      <c r="J20" s="21" t="inlineStr">
        <is>
          <t>P3</t>
        </is>
      </c>
      <c r="K20" s="21" t="inlineStr">
        <is>
          <t>No</t>
        </is>
      </c>
      <c r="L20" s="21" t="inlineStr">
        <is>
          <t>Remote diagnosis or software fix</t>
        </is>
      </c>
      <c r="M20" s="21" t="n"/>
      <c r="N20" s="21" t="inlineStr">
        <is>
          <t>Revised Oct 25 after review: app schedule problem; car still charges. Original note: Error in feature execution</t>
        </is>
      </c>
      <c r="O20" s="19">
        <f>IF(COUNTA(H20,J20:L20)=0,"",IF(COUNTA(H20,J20:L20)&lt;4,"Incomplete: fill all four labels",IF(AND(K20="Yes",J20="P3"),"Error: safety Yes can't be P3",IF(AND(K20="Yes",L20="Explain to customer (no repair needed)"),"Error: safety Yes needs a repair, not explain",IF(AND(I20&lt;&gt;"",I20=H20),"Error: alt_category is the same as category",IF(AND(J20="P1",K20="No"),"Check: P1 with safety No is only OK if the customer is stranded",IF(AND(L20="Stop driving + roadside assistance",K20="No"),"Check: roadside with safety No is only OK if stuck somewhere unsafe",IF(AND(H20="Other / Unclear",L20&lt;&gt;"Contact customer for more information"),"Check: unclear tickets usually need contact customer",IF(AND(L20="Explain to customer (no repair needed)",J20&lt;&gt;"P3"),"Check: no repair needed is usually P3","OK")))))))))</f>
        <v/>
      </c>
    </row>
    <row r="21" ht="64.5" customHeight="1" s="13">
      <c r="A21" s="19" t="inlineStr">
        <is>
          <t>T-020</t>
        </is>
      </c>
      <c r="B21" s="19" t="inlineStr">
        <is>
          <t>App</t>
        </is>
      </c>
      <c r="C21" s="19" t="n">
        <v>2024</v>
      </c>
      <c r="D21" s="19" t="inlineStr">
        <is>
          <t>R1T</t>
        </is>
      </c>
      <c r="E21" s="20" t="n">
        <v>24600</v>
      </c>
      <c r="F21" s="19" t="inlineStr">
        <is>
          <t>yes</t>
        </is>
      </c>
      <c r="G21" s="19" t="inlineStr">
        <is>
          <t>Wipers stopped working halfway through a rainstorm, came back after I parked and restarted. Also the cupholder lid is broken.</t>
        </is>
      </c>
      <c r="H21" s="21" t="inlineStr">
        <is>
          <t>Electrical (12V)</t>
        </is>
      </c>
      <c r="I21" s="21" t="n"/>
      <c r="J21" s="21" t="inlineStr">
        <is>
          <t>P2</t>
        </is>
      </c>
      <c r="K21" s="21" t="inlineStr">
        <is>
          <t>Yes</t>
        </is>
      </c>
      <c r="L21" s="21" t="inlineStr">
        <is>
          <t>Schedule service center visit</t>
        </is>
      </c>
      <c r="M21" s="21" t="n"/>
      <c r="N21" s="21" t="inlineStr">
        <is>
          <t>Revised Oct 25 after review: wipers stopped and came back after restart → Electrical (Decision 4); failing wipers are a visibility problem → safety Yes. Original label: Body &amp; cabin, P2, No.</t>
        </is>
      </c>
      <c r="O21" s="19">
        <f>IF(COUNTA(H21,J21:L21)=0,"",IF(COUNTA(H21,J21:L21)&lt;4,"Incomplete: fill all four labels",IF(AND(K21="Yes",J21="P3"),"Error: safety Yes can't be P3",IF(AND(K21="Yes",L21="Explain to customer (no repair needed)"),"Error: safety Yes needs a repair, not explain",IF(AND(I21&lt;&gt;"",I21=H21),"Error: alt_category is the same as category",IF(AND(J21="P1",K21="No"),"Check: P1 with safety No is only OK if the customer is stranded",IF(AND(L21="Stop driving + roadside assistance",K21="No"),"Check: roadside with safety No is only OK if stuck somewhere unsafe",IF(AND(H21="Other / Unclear",L21&lt;&gt;"Contact customer for more information"),"Check: unclear tickets usually need contact customer",IF(AND(L21="Explain to customer (no repair needed)",J21&lt;&gt;"P3"),"Check: no repair needed is usually P3","OK")))))))))</f>
        <v/>
      </c>
    </row>
    <row r="22" ht="15" customHeight="1" s="13">
      <c r="A22" s="19" t="inlineStr">
        <is>
          <t>T-021</t>
        </is>
      </c>
      <c r="B22" s="19" t="inlineStr">
        <is>
          <t>App</t>
        </is>
      </c>
      <c r="C22" s="19" t="n">
        <v>2023</v>
      </c>
      <c r="D22" s="19" t="inlineStr">
        <is>
          <t>R1S</t>
        </is>
      </c>
      <c r="E22" s="20" t="n">
        <v>30000</v>
      </c>
      <c r="F22" s="19" t="inlineStr">
        <is>
          <t>yes</t>
        </is>
      </c>
      <c r="G22" s="19" t="inlineStr">
        <is>
          <t>Whenever driving on highway with a constant high speed, car steers slightly towards left direction even if no pressure on steering so I have to be careful while driving</t>
        </is>
      </c>
      <c r="H22" s="21" t="inlineStr">
        <is>
          <t>Chassis</t>
        </is>
      </c>
      <c r="I22" s="21" t="n"/>
      <c r="J22" s="21" t="inlineStr">
        <is>
          <t>P1</t>
        </is>
      </c>
      <c r="K22" s="21" t="inlineStr">
        <is>
          <t>Yes</t>
        </is>
      </c>
      <c r="L22" s="21" t="inlineStr">
        <is>
          <t>Schedule service center visit</t>
        </is>
      </c>
      <c r="M22" s="21" t="n"/>
      <c r="N22" s="21" t="inlineStr">
        <is>
          <t>Your label kept; matches Decision 5 (mild, driver in control → same-day service center). Original note: even if safety critical can go to a nearby mechanic shop to get it checked</t>
        </is>
      </c>
      <c r="O22" s="19">
        <f>IF(COUNTA(H22,J22:L22)=0,"",IF(COUNTA(H22,J22:L22)&lt;4,"Incomplete: fill all four labels",IF(AND(K22="Yes",J22="P3"),"Error: safety Yes can't be P3",IF(AND(K22="Yes",L22="Explain to customer (no repair needed)"),"Error: safety Yes needs a repair, not explain",IF(AND(I22&lt;&gt;"",I22=H22),"Error: alt_category is the same as category",IF(AND(J22="P1",K22="No"),"Check: P1 with safety No is only OK if the customer is stranded",IF(AND(L22="Stop driving + roadside assistance",K22="No"),"Check: roadside with safety No is only OK if stuck somewhere unsafe",IF(AND(H22="Other / Unclear",L22&lt;&gt;"Contact customer for more information"),"Check: unclear tickets usually need contact customer",IF(AND(L22="Explain to customer (no repair needed)",J22&lt;&gt;"P3"),"Check: no repair needed is usually P3","OK")))))))))</f>
        <v/>
      </c>
    </row>
    <row r="23" ht="15" customHeight="1" s="13">
      <c r="A23" s="19" t="inlineStr">
        <is>
          <t>T-022</t>
        </is>
      </c>
      <c r="B23" s="19" t="inlineStr">
        <is>
          <t>Phone</t>
        </is>
      </c>
      <c r="C23" s="19" t="n">
        <v>2023</v>
      </c>
      <c r="D23" s="19" t="inlineStr">
        <is>
          <t>R1S</t>
        </is>
      </c>
      <c r="E23" s="20" t="n">
        <v>20000</v>
      </c>
      <c r="F23" s="19" t="inlineStr">
        <is>
          <t>yes</t>
        </is>
      </c>
      <c r="G23" s="19" t="inlineStr">
        <is>
          <t>Blind spot monitor not working with accuracy sometimes starts beeting when too far or too close</t>
        </is>
      </c>
      <c r="H23" s="21" t="inlineStr">
        <is>
          <t>Driver assistance</t>
        </is>
      </c>
      <c r="I23" s="21" t="n"/>
      <c r="J23" s="21" t="inlineStr">
        <is>
          <t>P2</t>
        </is>
      </c>
      <c r="K23" s="21" t="inlineStr">
        <is>
          <t>No</t>
        </is>
      </c>
      <c r="L23" s="21" t="inlineStr">
        <is>
          <t>Schedule service center visit</t>
        </is>
      </c>
      <c r="M23" s="21" t="n"/>
      <c r="N23" s="21" t="inlineStr">
        <is>
          <t>Your label kept (P2 accepted: a late warning is worse than a false one). Second labeler (AI) said P3.</t>
        </is>
      </c>
      <c r="O23" s="19">
        <f>IF(COUNTA(H23,J23:L23)=0,"",IF(COUNTA(H23,J23:L23)&lt;4,"Incomplete: fill all four labels",IF(AND(K23="Yes",J23="P3"),"Error: safety Yes can't be P3",IF(AND(K23="Yes",L23="Explain to customer (no repair needed)"),"Error: safety Yes needs a repair, not explain",IF(AND(I23&lt;&gt;"",I23=H23),"Error: alt_category is the same as category",IF(AND(J23="P1",K23="No"),"Check: P1 with safety No is only OK if the customer is stranded",IF(AND(L23="Stop driving + roadside assistance",K23="No"),"Check: roadside with safety No is only OK if stuck somewhere unsafe",IF(AND(H23="Other / Unclear",L23&lt;&gt;"Contact customer for more information"),"Check: unclear tickets usually need contact customer",IF(AND(L23="Explain to customer (no repair needed)",J23&lt;&gt;"P3"),"Check: no repair needed is usually P3","OK")))))))))</f>
        <v/>
      </c>
    </row>
    <row r="24" ht="15" customHeight="1" s="13">
      <c r="A24" s="19" t="inlineStr">
        <is>
          <t>T-023</t>
        </is>
      </c>
      <c r="B24" s="19" t="inlineStr">
        <is>
          <t>App</t>
        </is>
      </c>
      <c r="C24" s="19" t="n">
        <v>2024</v>
      </c>
      <c r="D24" s="19" t="inlineStr">
        <is>
          <t>R1T</t>
        </is>
      </c>
      <c r="E24" s="20" t="n">
        <v>16000</v>
      </c>
      <c r="F24" s="19" t="inlineStr">
        <is>
          <t>yes</t>
        </is>
      </c>
      <c r="G24" s="19" t="inlineStr">
        <is>
          <t>Display screen not showing avalilable power remaining correctly miles not decreasing even while driving</t>
        </is>
      </c>
      <c r="H24" s="21" t="inlineStr">
        <is>
          <t>Software &amp; infotainment</t>
        </is>
      </c>
      <c r="I24" s="21" t="inlineStr">
        <is>
          <t>High-voltage battery &amp; drive</t>
        </is>
      </c>
      <c r="J24" s="21" t="inlineStr">
        <is>
          <t>P1</t>
        </is>
      </c>
      <c r="K24" s="21" t="inlineStr">
        <is>
          <t>Yes</t>
        </is>
      </c>
      <c r="L24" s="21" t="inlineStr">
        <is>
          <t>Remote diagnosis or software fix</t>
        </is>
      </c>
      <c r="M24" s="21" t="n"/>
      <c r="N24" s="21" t="inlineStr">
        <is>
          <t>Revised Oct 26 after review: added alt_category; range reading too high can lead to loss of power → safety Yes. Second labeler (AI) said P2, No, then changed after your argument. Original note: Stop at a nearby rest area try contacting customer support</t>
        </is>
      </c>
      <c r="O24" s="19">
        <f>IF(COUNTA(H24,J24:L24)=0,"",IF(COUNTA(H24,J24:L24)&lt;4,"Incomplete: fill all four labels",IF(AND(K24="Yes",J24="P3"),"Error: safety Yes can't be P3",IF(AND(K24="Yes",L24="Explain to customer (no repair needed)"),"Error: safety Yes needs a repair, not explain",IF(AND(I24&lt;&gt;"",I24=H24),"Error: alt_category is the same as category",IF(AND(J24="P1",K24="No"),"Check: P1 with safety No is only OK if the customer is stranded",IF(AND(L24="Stop driving + roadside assistance",K24="No"),"Check: roadside with safety No is only OK if stuck somewhere unsafe",IF(AND(H24="Other / Unclear",L24&lt;&gt;"Contact customer for more information"),"Check: unclear tickets usually need contact customer",IF(AND(L24="Explain to customer (no repair needed)",J24&lt;&gt;"P3"),"Check: no repair needed is usually P3","OK")))))))))</f>
        <v/>
      </c>
    </row>
    <row r="25" ht="15" customHeight="1" s="13">
      <c r="A25" s="19" t="inlineStr">
        <is>
          <t>T-024</t>
        </is>
      </c>
      <c r="B25" s="19" t="inlineStr">
        <is>
          <t>Phone</t>
        </is>
      </c>
      <c r="C25" s="19" t="n">
        <v>2023</v>
      </c>
      <c r="D25" s="19" t="inlineStr">
        <is>
          <t>R1T</t>
        </is>
      </c>
      <c r="E25" s="20" t="n">
        <v>22000</v>
      </c>
      <c r="F25" s="19" t="inlineStr">
        <is>
          <t>yes</t>
        </is>
      </c>
      <c r="G25" s="19" t="inlineStr">
        <is>
          <t>Car is generally quite, whenever acceleration increases humming sound comes</t>
        </is>
      </c>
      <c r="H25" s="21" t="inlineStr">
        <is>
          <t>High-voltage battery &amp; drive</t>
        </is>
      </c>
      <c r="I25" s="21" t="n"/>
      <c r="J25" s="21" t="inlineStr">
        <is>
          <t>P3</t>
        </is>
      </c>
      <c r="K25" s="21" t="inlineStr">
        <is>
          <t>No</t>
        </is>
      </c>
      <c r="L25" s="21" t="inlineStr">
        <is>
          <t>Explain to customer (no repair needed)</t>
        </is>
      </c>
      <c r="M25" s="21" t="n"/>
      <c r="N25" s="21" t="inlineStr">
        <is>
          <t>Revised Oct 26 after review: three-question test gives P3; some motor noise under power is normal. Original label: P2, service center.</t>
        </is>
      </c>
      <c r="O25" s="19">
        <f>IF(COUNTA(H25,J25:L25)=0,"",IF(COUNTA(H25,J25:L25)&lt;4,"Incomplete: fill all four labels",IF(AND(K25="Yes",J25="P3"),"Error: safety Yes can't be P3",IF(AND(K25="Yes",L25="Explain to customer (no repair needed)"),"Error: safety Yes needs a repair, not explain",IF(AND(I25&lt;&gt;"",I25=H25),"Error: alt_category is the same as category",IF(AND(J25="P1",K25="No"),"Check: P1 with safety No is only OK if the customer is stranded",IF(AND(L25="Stop driving + roadside assistance",K25="No"),"Check: roadside with safety No is only OK if stuck somewhere unsafe",IF(AND(H25="Other / Unclear",L25&lt;&gt;"Contact customer for more information"),"Check: unclear tickets usually need contact customer",IF(AND(L25="Explain to customer (no repair needed)",J25&lt;&gt;"P3"),"Check: no repair needed is usually P3","OK")))))))))</f>
        <v/>
      </c>
    </row>
    <row r="26" ht="15" customHeight="1" s="13">
      <c r="A26" s="19" t="inlineStr">
        <is>
          <t>T-025</t>
        </is>
      </c>
      <c r="B26" s="19" t="inlineStr">
        <is>
          <t>App</t>
        </is>
      </c>
      <c r="C26" s="19" t="n">
        <v>2024</v>
      </c>
      <c r="D26" s="19" t="inlineStr">
        <is>
          <t>R1S</t>
        </is>
      </c>
      <c r="E26" s="20" t="n">
        <v>10000</v>
      </c>
      <c r="F26" s="19" t="inlineStr">
        <is>
          <t>yes</t>
        </is>
      </c>
      <c r="G26" s="19" t="inlineStr">
        <is>
          <t>Car takes a lot of time to charge</t>
        </is>
      </c>
      <c r="H26" s="21" t="inlineStr">
        <is>
          <t>Charging</t>
        </is>
      </c>
      <c r="I26" s="21" t="n"/>
      <c r="J26" s="21" t="inlineStr">
        <is>
          <t>P2</t>
        </is>
      </c>
      <c r="K26" s="21" t="inlineStr">
        <is>
          <t>No</t>
        </is>
      </c>
      <c r="L26" s="21" t="inlineStr">
        <is>
          <t>Contact customer for more information</t>
        </is>
      </c>
      <c r="M26" s="21" t="n"/>
      <c r="N26" s="21" t="inlineStr">
        <is>
          <t>Revised Oct 26 after review: slow charging is Charging; too little detail → P2 + contact customer. Original label: Battery &amp; drive, P3, service center. Original note: get home charger checked too</t>
        </is>
      </c>
      <c r="O26" s="19">
        <f>IF(COUNTA(H26,J26:L26)=0,"",IF(COUNTA(H26,J26:L26)&lt;4,"Incomplete: fill all four labels",IF(AND(K26="Yes",J26="P3"),"Error: safety Yes can't be P3",IF(AND(K26="Yes",L26="Explain to customer (no repair needed)"),"Error: safety Yes needs a repair, not explain",IF(AND(I26&lt;&gt;"",I26=H26),"Error: alt_category is the same as category",IF(AND(J26="P1",K26="No"),"Check: P1 with safety No is only OK if the customer is stranded",IF(AND(L26="Stop driving + roadside assistance",K26="No"),"Check: roadside with safety No is only OK if stuck somewhere unsafe",IF(AND(H26="Other / Unclear",L26&lt;&gt;"Contact customer for more information"),"Check: unclear tickets usually need contact customer",IF(AND(L26="Explain to customer (no repair needed)",J26&lt;&gt;"P3"),"Check: no repair needed is usually P3","OK")))))))))</f>
        <v/>
      </c>
    </row>
    <row r="27" ht="15" customHeight="1" s="13">
      <c r="A27" s="19" t="inlineStr">
        <is>
          <t>T-026</t>
        </is>
      </c>
      <c r="B27" s="19" t="inlineStr">
        <is>
          <t>App</t>
        </is>
      </c>
      <c r="C27" s="19" t="n">
        <v>2023</v>
      </c>
      <c r="D27" s="19" t="inlineStr">
        <is>
          <t>R1T</t>
        </is>
      </c>
      <c r="E27" s="20" t="n">
        <v>33400</v>
      </c>
      <c r="F27" s="19" t="inlineStr">
        <is>
          <t>yes</t>
        </is>
      </c>
      <c r="G27" s="19" t="inlineStr">
        <is>
          <t>Battery said 40% when I left work and then a couple minutes later it said 6%. Still driving fine right now but kind of freaked out.</t>
        </is>
      </c>
      <c r="H27" s="21" t="inlineStr">
        <is>
          <t>High-voltage battery &amp; drive</t>
        </is>
      </c>
      <c r="I27" s="21" t="inlineStr">
        <is>
          <t>Software &amp; infotainment</t>
        </is>
      </c>
      <c r="J27" s="21" t="inlineStr">
        <is>
          <t>P1</t>
        </is>
      </c>
      <c r="K27" s="21" t="inlineStr">
        <is>
          <t>Yes</t>
        </is>
      </c>
      <c r="L27" s="21" t="inlineStr">
        <is>
          <t>Remote diagnosis or software fix</t>
        </is>
      </c>
      <c r="M27" s="21" t="n"/>
      <c r="N27" s="21" t="inlineStr">
        <is>
          <t>Revised Oct 26 after review: sudden real drop more likely than a display bug, so Battery &amp; drive with Software as alt. Original category: Software &amp; infotainment.</t>
        </is>
      </c>
      <c r="O27" s="19">
        <f>IF(COUNTA(H27,J27:L27)=0,"",IF(COUNTA(H27,J27:L27)&lt;4,"Incomplete: fill all four labels",IF(AND(K27="Yes",J27="P3"),"Error: safety Yes can't be P3",IF(AND(K27="Yes",L27="Explain to customer (no repair needed)"),"Error: safety Yes needs a repair, not explain",IF(AND(I27&lt;&gt;"",I27=H27),"Error: alt_category is the same as category",IF(AND(J27="P1",K27="No"),"Check: P1 with safety No is only OK if the customer is stranded",IF(AND(L27="Stop driving + roadside assistance",K27="No"),"Check: roadside with safety No is only OK if stuck somewhere unsafe",IF(AND(H27="Other / Unclear",L27&lt;&gt;"Contact customer for more information"),"Check: unclear tickets usually need contact customer",IF(AND(L27="Explain to customer (no repair needed)",J27&lt;&gt;"P3"),"Check: no repair needed is usually P3","OK")))))))))</f>
        <v/>
      </c>
    </row>
    <row r="28" ht="15" customHeight="1" s="13">
      <c r="A28" s="19" t="inlineStr">
        <is>
          <t>T-027</t>
        </is>
      </c>
      <c r="B28" s="19" t="inlineStr">
        <is>
          <t>Phone</t>
        </is>
      </c>
      <c r="C28" s="19" t="n">
        <v>2024</v>
      </c>
      <c r="D28" s="19" t="inlineStr">
        <is>
          <t>R1S</t>
        </is>
      </c>
      <c r="E28" s="20" t="n">
        <v>17800</v>
      </c>
      <c r="F28" s="19" t="inlineStr">
        <is>
          <t>unknown</t>
        </is>
      </c>
      <c r="G28" s="19" t="inlineStr">
        <is>
          <t>When I braked hard on the freeway the car pulled really hard to the right, almost went into the next lane.</t>
        </is>
      </c>
      <c r="H28" s="21" t="inlineStr">
        <is>
          <t>Chassis</t>
        </is>
      </c>
      <c r="I28" s="21" t="n"/>
      <c r="J28" s="21" t="inlineStr">
        <is>
          <t>P1</t>
        </is>
      </c>
      <c r="K28" s="21" t="inlineStr">
        <is>
          <t>Yes</t>
        </is>
      </c>
      <c r="L28" s="21" t="inlineStr">
        <is>
          <t>Stop driving + roadside assistance</t>
        </is>
      </c>
      <c r="M28" s="21" t="inlineStr">
        <is>
          <t>?</t>
        </is>
      </c>
      <c r="N28" s="21" t="inlineStr">
        <is>
          <t>Revised Oct 26 after review: pulling hard almost into the next lane = hard to control → safety Yes, roadside. Original: safety No, service center, marked ?.</t>
        </is>
      </c>
      <c r="O28" s="19">
        <f>IF(COUNTA(H28,J28:L28)=0,"",IF(COUNTA(H28,J28:L28)&lt;4,"Incomplete: fill all four labels",IF(AND(K28="Yes",J28="P3"),"Error: safety Yes can't be P3",IF(AND(K28="Yes",L28="Explain to customer (no repair needed)"),"Error: safety Yes needs a repair, not explain",IF(AND(I28&lt;&gt;"",I28=H28),"Error: alt_category is the same as category",IF(AND(J28="P1",K28="No"),"Check: P1 with safety No is only OK if the customer is stranded",IF(AND(L28="Stop driving + roadside assistance",K28="No"),"Check: roadside with safety No is only OK if stuck somewhere unsafe",IF(AND(H28="Other / Unclear",L28&lt;&gt;"Contact customer for more information"),"Check: unclear tickets usually need contact customer",IF(AND(L28="Explain to customer (no repair needed)",J28&lt;&gt;"P3"),"Check: no repair needed is usually P3","OK")))))))))</f>
        <v/>
      </c>
    </row>
    <row r="29" ht="15" customHeight="1" s="13">
      <c r="A29" s="19" t="inlineStr">
        <is>
          <t>T-028</t>
        </is>
      </c>
      <c r="B29" s="19" t="inlineStr">
        <is>
          <t>App</t>
        </is>
      </c>
      <c r="C29" s="19" t="n">
        <v>2024</v>
      </c>
      <c r="D29" s="19" t="inlineStr">
        <is>
          <t>R1S</t>
        </is>
      </c>
      <c r="E29" s="20" t="n">
        <v>12900</v>
      </c>
      <c r="F29" s="19" t="inlineStr">
        <is>
          <t>yes</t>
        </is>
      </c>
      <c r="G29" s="19" t="inlineStr">
        <is>
          <t>Rear camera screen is just black when I put it in reverse. Been using the mirrors for now.</t>
        </is>
      </c>
      <c r="H29" s="21" t="inlineStr">
        <is>
          <t>Driver assistance</t>
        </is>
      </c>
      <c r="I29" s="21" t="inlineStr">
        <is>
          <t>Software &amp; infotainment</t>
        </is>
      </c>
      <c r="J29" s="21" t="inlineStr">
        <is>
          <t>P2</t>
        </is>
      </c>
      <c r="K29" s="21" t="inlineStr">
        <is>
          <t>Yes</t>
        </is>
      </c>
      <c r="L29" s="21" t="inlineStr">
        <is>
          <t>Schedule service center visit</t>
        </is>
      </c>
      <c r="M29" s="21" t="n"/>
      <c r="N29" s="21" t="inlineStr">
        <is>
          <t>Revised Oct 26 after review: backup camera out → safety Yes, P2 (Option A). Original: safety No.</t>
        </is>
      </c>
      <c r="O29" s="19">
        <f>IF(COUNTA(H29,J29:L29)=0,"",IF(COUNTA(H29,J29:L29)&lt;4,"Incomplete: fill all four labels",IF(AND(K29="Yes",J29="P3"),"Error: safety Yes can't be P3",IF(AND(K29="Yes",L29="Explain to customer (no repair needed)"),"Error: safety Yes needs a repair, not explain",IF(AND(I29&lt;&gt;"",I29=H29),"Error: alt_category is the same as category",IF(AND(J29="P1",K29="No"),"Check: P1 with safety No is only OK if the customer is stranded",IF(AND(L29="Stop driving + roadside assistance",K29="No"),"Check: roadside with safety No is only OK if stuck somewhere unsafe",IF(AND(H29="Other / Unclear",L29&lt;&gt;"Contact customer for more information"),"Check: unclear tickets usually need contact customer",IF(AND(L29="Explain to customer (no repair needed)",J29&lt;&gt;"P3"),"Check: no repair needed is usually P3","OK")))))))))</f>
        <v/>
      </c>
    </row>
    <row r="30" ht="15" customHeight="1" s="13">
      <c r="A30" s="19" t="inlineStr">
        <is>
          <t>T-029</t>
        </is>
      </c>
      <c r="B30" s="19" t="inlineStr">
        <is>
          <t>App</t>
        </is>
      </c>
      <c r="C30" s="19" t="n">
        <v>2024</v>
      </c>
      <c r="D30" s="19" t="inlineStr">
        <is>
          <t>R1T</t>
        </is>
      </c>
      <c r="E30" s="20" t="n">
        <v>7700</v>
      </c>
      <c r="F30" s="19" t="inlineStr">
        <is>
          <t>yes</t>
        </is>
      </c>
      <c r="G30" s="19" t="inlineStr">
        <is>
          <t>How do I turn off the chime when I unbuckle my seatbelt for a second to grab something?</t>
        </is>
      </c>
      <c r="H30" s="21" t="inlineStr">
        <is>
          <t>Software &amp; infotainment</t>
        </is>
      </c>
      <c r="I30" s="21" t="n"/>
      <c r="J30" s="21" t="inlineStr">
        <is>
          <t>P3</t>
        </is>
      </c>
      <c r="K30" s="21" t="inlineStr">
        <is>
          <t>No</t>
        </is>
      </c>
      <c r="L30" s="21" t="inlineStr">
        <is>
          <t>Explain to customer (no repair needed)</t>
        </is>
      </c>
      <c r="M30" s="21" t="n"/>
      <c r="N30" s="21" t="inlineStr">
        <is>
          <t>Revised Oct 26 after review: working feature, customer wants it off → settings rule. Original category: Body &amp; cabin.</t>
        </is>
      </c>
      <c r="O30" s="19">
        <f>IF(COUNTA(H30,J30:L30)=0,"",IF(COUNTA(H30,J30:L30)&lt;4,"Incomplete: fill all four labels",IF(AND(K30="Yes",J30="P3"),"Error: safety Yes can't be P3",IF(AND(K30="Yes",L30="Explain to customer (no repair needed)"),"Error: safety Yes needs a repair, not explain",IF(AND(I30&lt;&gt;"",I30=H30),"Error: alt_category is the same as category",IF(AND(J30="P1",K30="No"),"Check: P1 with safety No is only OK if the customer is stranded",IF(AND(L30="Stop driving + roadside assistance",K30="No"),"Check: roadside with safety No is only OK if stuck somewhere unsafe",IF(AND(H30="Other / Unclear",L30&lt;&gt;"Contact customer for more information"),"Check: unclear tickets usually need contact customer",IF(AND(L30="Explain to customer (no repair needed)",J30&lt;&gt;"P3"),"Check: no repair needed is usually P3","OK")))))))))</f>
        <v/>
      </c>
    </row>
    <row r="31" ht="15" customHeight="1" s="13">
      <c r="A31" s="19" t="inlineStr">
        <is>
          <t>T-030</t>
        </is>
      </c>
      <c r="B31" s="19" t="inlineStr">
        <is>
          <t>App</t>
        </is>
      </c>
      <c r="C31" s="19" t="n">
        <v>2023</v>
      </c>
      <c r="D31" s="19" t="inlineStr">
        <is>
          <t>R1S</t>
        </is>
      </c>
      <c r="E31" s="20" t="n">
        <v>41200</v>
      </c>
      <c r="F31" s="19" t="inlineStr">
        <is>
          <t>no</t>
        </is>
      </c>
      <c r="G31" s="19" t="inlineStr">
        <is>
          <t>Car won't turn on in the Costco parking lot. Nothing on the screen. I have my two kids with me, please help!!</t>
        </is>
      </c>
      <c r="H31" s="21" t="inlineStr">
        <is>
          <t>Electrical (12V)</t>
        </is>
      </c>
      <c r="I31" s="21" t="n"/>
      <c r="J31" s="21" t="inlineStr">
        <is>
          <t>P1</t>
        </is>
      </c>
      <c r="K31" s="21" t="inlineStr">
        <is>
          <t>No</t>
        </is>
      </c>
      <c r="L31" s="21" t="inlineStr">
        <is>
          <t>Dispatch mobile service</t>
        </is>
      </c>
      <c r="M31" s="21" t="n"/>
      <c r="N31" s="21" t="inlineStr">
        <is>
          <t>Revised Oct 26 after review: won't wake → 12V; parking lot isn't unsafe → mobile; stranded → P1. Original: Battery &amp; drive, safety Yes, roadside.</t>
        </is>
      </c>
      <c r="O31" s="19">
        <f>IF(COUNTA(H31,J31:L31)=0,"",IF(COUNTA(H31,J31:L31)&lt;4,"Incomplete: fill all four labels",IF(AND(K31="Yes",J31="P3"),"Error: safety Yes can't be P3",IF(AND(K31="Yes",L31="Explain to customer (no repair needed)"),"Error: safety Yes needs a repair, not explain",IF(AND(I31&lt;&gt;"",I31=H31),"Error: alt_category is the same as category",IF(AND(J31="P1",K31="No"),"Check: P1 with safety No is only OK if the customer is stranded",IF(AND(L31="Stop driving + roadside assistance",K31="No"),"Check: roadside with safety No is only OK if stuck somewhere unsafe",IF(AND(H31="Other / Unclear",L31&lt;&gt;"Contact customer for more information"),"Check: unclear tickets usually need contact customer",IF(AND(L31="Explain to customer (no repair needed)",J31&lt;&gt;"P3"),"Check: no repair needed is usually P3","OK")))))))))</f>
        <v/>
      </c>
    </row>
    <row r="32" ht="15" customHeight="1" s="13">
      <c r="A32" s="19" t="n"/>
      <c r="B32" s="19" t="n"/>
      <c r="C32" s="19" t="n"/>
      <c r="D32" s="19" t="n"/>
      <c r="E32" s="19" t="n"/>
      <c r="F32" s="19" t="n"/>
      <c r="G32" s="19" t="n"/>
      <c r="H32" s="21" t="n"/>
      <c r="I32" s="21" t="n"/>
      <c r="J32" s="21" t="n"/>
      <c r="K32" s="21" t="n"/>
      <c r="L32" s="21" t="n"/>
      <c r="M32" s="21" t="n"/>
      <c r="N32" s="21" t="n"/>
      <c r="O32" s="19">
        <f>IF(COUNTA(H32,J32:L32)=0,"",IF(COUNTA(H32,J32:L32)&lt;4,"Incomplete: fill all four labels",IF(AND(K32="Yes",J32="P3"),"Error: safety Yes can't be P3",IF(AND(K32="Yes",L32="Explain to customer (no repair needed)"),"Error: safety Yes needs a repair, not explain",IF(AND(I32&lt;&gt;"",I32=H32),"Error: alt_category is the same as category",IF(AND(J32="P1",K32="No"),"Check: P1 with safety No is only OK if the customer is stranded",IF(AND(L32="Stop driving + roadside assistance",K32="No"),"Check: roadside with safety No is only OK if stuck somewhere unsafe",IF(AND(H32="Other / Unclear",L32&lt;&gt;"Contact customer for more information"),"Check: unclear tickets usually need contact customer",IF(AND(L32="Explain to customer (no repair needed)",J32&lt;&gt;"P3"),"Check: no repair needed is usually P3","OK")))))))))</f>
        <v/>
      </c>
    </row>
    <row r="33" ht="15" customHeight="1" s="13">
      <c r="A33" s="19" t="n"/>
      <c r="B33" s="19" t="n"/>
      <c r="C33" s="19" t="n"/>
      <c r="D33" s="19" t="n"/>
      <c r="E33" s="19" t="n"/>
      <c r="F33" s="19" t="n"/>
      <c r="G33" s="19" t="n"/>
      <c r="H33" s="21" t="n"/>
      <c r="I33" s="21" t="n"/>
      <c r="J33" s="21" t="n"/>
      <c r="K33" s="21" t="n"/>
      <c r="L33" s="21" t="n"/>
      <c r="M33" s="21" t="n"/>
      <c r="N33" s="21" t="n"/>
      <c r="O33" s="19">
        <f>IF(COUNTA(H33,J33:L33)=0,"",IF(COUNTA(H33,J33:L33)&lt;4,"Incomplete: fill all four labels",IF(AND(K33="Yes",J33="P3"),"Error: safety Yes can't be P3",IF(AND(K33="Yes",L33="Explain to customer (no repair needed)"),"Error: safety Yes needs a repair, not explain",IF(AND(I33&lt;&gt;"",I33=H33),"Error: alt_category is the same as category",IF(AND(J33="P1",K33="No"),"Check: P1 with safety No is only OK if the customer is stranded",IF(AND(L33="Stop driving + roadside assistance",K33="No"),"Check: roadside with safety No is only OK if stuck somewhere unsafe",IF(AND(H33="Other / Unclear",L33&lt;&gt;"Contact customer for more information"),"Check: unclear tickets usually need contact customer",IF(AND(L33="Explain to customer (no repair needed)",J33&lt;&gt;"P3"),"Check: no repair needed is usually P3","OK")))))))))</f>
        <v/>
      </c>
    </row>
    <row r="34" ht="15" customHeight="1" s="13">
      <c r="A34" s="19" t="n"/>
      <c r="B34" s="19" t="n"/>
      <c r="C34" s="19" t="n"/>
      <c r="D34" s="19" t="n"/>
      <c r="E34" s="19" t="n"/>
      <c r="F34" s="19" t="n"/>
      <c r="G34" s="19" t="n"/>
      <c r="H34" s="21" t="n"/>
      <c r="I34" s="21" t="n"/>
      <c r="J34" s="21" t="n"/>
      <c r="K34" s="21" t="n"/>
      <c r="L34" s="21" t="n"/>
      <c r="M34" s="21" t="n"/>
      <c r="N34" s="21" t="n"/>
      <c r="O34" s="19">
        <f>IF(COUNTA(H34,J34:L34)=0,"",IF(COUNTA(H34,J34:L34)&lt;4,"Incomplete: fill all four labels",IF(AND(K34="Yes",J34="P3"),"Error: safety Yes can't be P3",IF(AND(K34="Yes",L34="Explain to customer (no repair needed)"),"Error: safety Yes needs a repair, not explain",IF(AND(I34&lt;&gt;"",I34=H34),"Error: alt_category is the same as category",IF(AND(J34="P1",K34="No"),"Check: P1 with safety No is only OK if the customer is stranded",IF(AND(L34="Stop driving + roadside assistance",K34="No"),"Check: roadside with safety No is only OK if stuck somewhere unsafe",IF(AND(H34="Other / Unclear",L34&lt;&gt;"Contact customer for more information"),"Check: unclear tickets usually need contact customer",IF(AND(L34="Explain to customer (no repair needed)",J34&lt;&gt;"P3"),"Check: no repair needed is usually P3","OK")))))))))</f>
        <v/>
      </c>
    </row>
    <row r="35" ht="15" customHeight="1" s="13">
      <c r="A35" s="19" t="n"/>
      <c r="B35" s="19" t="n"/>
      <c r="C35" s="19" t="n"/>
      <c r="D35" s="19" t="n"/>
      <c r="E35" s="19" t="n"/>
      <c r="F35" s="19" t="n"/>
      <c r="G35" s="19" t="n"/>
      <c r="H35" s="21" t="n"/>
      <c r="I35" s="21" t="n"/>
      <c r="J35" s="21" t="n"/>
      <c r="K35" s="21" t="n"/>
      <c r="L35" s="21" t="n"/>
      <c r="M35" s="21" t="n"/>
      <c r="N35" s="21" t="n"/>
      <c r="O35" s="19">
        <f>IF(COUNTA(H35,J35:L35)=0,"",IF(COUNTA(H35,J35:L35)&lt;4,"Incomplete: fill all four labels",IF(AND(K35="Yes",J35="P3"),"Error: safety Yes can't be P3",IF(AND(K35="Yes",L35="Explain to customer (no repair needed)"),"Error: safety Yes needs a repair, not explain",IF(AND(I35&lt;&gt;"",I35=H35),"Error: alt_category is the same as category",IF(AND(J35="P1",K35="No"),"Check: P1 with safety No is only OK if the customer is stranded",IF(AND(L35="Stop driving + roadside assistance",K35="No"),"Check: roadside with safety No is only OK if stuck somewhere unsafe",IF(AND(H35="Other / Unclear",L35&lt;&gt;"Contact customer for more information"),"Check: unclear tickets usually need contact customer",IF(AND(L35="Explain to customer (no repair needed)",J35&lt;&gt;"P3"),"Check: no repair needed is usually P3","OK")))))))))</f>
        <v/>
      </c>
    </row>
    <row r="36" ht="15" customHeight="1" s="13">
      <c r="A36" s="19" t="n"/>
      <c r="B36" s="19" t="n"/>
      <c r="C36" s="19" t="n"/>
      <c r="D36" s="19" t="n"/>
      <c r="E36" s="19" t="n"/>
      <c r="F36" s="19" t="n"/>
      <c r="G36" s="19" t="n"/>
      <c r="H36" s="21" t="n"/>
      <c r="I36" s="21" t="n"/>
      <c r="J36" s="21" t="n"/>
      <c r="K36" s="21" t="n"/>
      <c r="L36" s="21" t="n"/>
      <c r="M36" s="21" t="n"/>
      <c r="N36" s="21" t="n"/>
      <c r="O36" s="19">
        <f>IF(COUNTA(H36,J36:L36)=0,"",IF(COUNTA(H36,J36:L36)&lt;4,"Incomplete: fill all four labels",IF(AND(K36="Yes",J36="P3"),"Error: safety Yes can't be P3",IF(AND(K36="Yes",L36="Explain to customer (no repair needed)"),"Error: safety Yes needs a repair, not explain",IF(AND(I36&lt;&gt;"",I36=H36),"Error: alt_category is the same as category",IF(AND(J36="P1",K36="No"),"Check: P1 with safety No is only OK if the customer is stranded",IF(AND(L36="Stop driving + roadside assistance",K36="No"),"Check: roadside with safety No is only OK if stuck somewhere unsafe",IF(AND(H36="Other / Unclear",L36&lt;&gt;"Contact customer for more information"),"Check: unclear tickets usually need contact customer",IF(AND(L36="Explain to customer (no repair needed)",J36&lt;&gt;"P3"),"Check: no repair needed is usually P3","OK")))))))))</f>
        <v/>
      </c>
    </row>
    <row r="37" ht="15" customHeight="1" s="13">
      <c r="A37" s="19" t="n"/>
      <c r="B37" s="19" t="n"/>
      <c r="C37" s="19" t="n"/>
      <c r="D37" s="19" t="n"/>
      <c r="E37" s="19" t="n"/>
      <c r="F37" s="19" t="n"/>
      <c r="G37" s="19" t="n"/>
      <c r="H37" s="21" t="n"/>
      <c r="I37" s="21" t="n"/>
      <c r="J37" s="21" t="n"/>
      <c r="K37" s="21" t="n"/>
      <c r="L37" s="21" t="n"/>
      <c r="M37" s="21" t="n"/>
      <c r="N37" s="21" t="n"/>
      <c r="O37" s="19">
        <f>IF(COUNTA(H37,J37:L37)=0,"",IF(COUNTA(H37,J37:L37)&lt;4,"Incomplete: fill all four labels",IF(AND(K37="Yes",J37="P3"),"Error: safety Yes can't be P3",IF(AND(K37="Yes",L37="Explain to customer (no repair needed)"),"Error: safety Yes needs a repair, not explain",IF(AND(I37&lt;&gt;"",I37=H37),"Error: alt_category is the same as category",IF(AND(J37="P1",K37="No"),"Check: P1 with safety No is only OK if the customer is stranded",IF(AND(L37="Stop driving + roadside assistance",K37="No"),"Check: roadside with safety No is only OK if stuck somewhere unsafe",IF(AND(H37="Other / Unclear",L37&lt;&gt;"Contact customer for more information"),"Check: unclear tickets usually need contact customer",IF(AND(L37="Explain to customer (no repair needed)",J37&lt;&gt;"P3"),"Check: no repair needed is usually P3","OK")))))))))</f>
        <v/>
      </c>
    </row>
    <row r="38" ht="15" customHeight="1" s="13">
      <c r="A38" s="19" t="n"/>
      <c r="B38" s="19" t="n"/>
      <c r="C38" s="19" t="n"/>
      <c r="D38" s="19" t="n"/>
      <c r="E38" s="19" t="n"/>
      <c r="F38" s="19" t="n"/>
      <c r="G38" s="19" t="n"/>
      <c r="H38" s="21" t="n"/>
      <c r="I38" s="21" t="n"/>
      <c r="J38" s="21" t="n"/>
      <c r="K38" s="21" t="n"/>
      <c r="L38" s="21" t="n"/>
      <c r="M38" s="21" t="n"/>
      <c r="N38" s="21" t="n"/>
      <c r="O38" s="19">
        <f>IF(COUNTA(H38,J38:L38)=0,"",IF(COUNTA(H38,J38:L38)&lt;4,"Incomplete: fill all four labels",IF(AND(K38="Yes",J38="P3"),"Error: safety Yes can't be P3",IF(AND(K38="Yes",L38="Explain to customer (no repair needed)"),"Error: safety Yes needs a repair, not explain",IF(AND(I38&lt;&gt;"",I38=H38),"Error: alt_category is the same as category",IF(AND(J38="P1",K38="No"),"Check: P1 with safety No is only OK if the customer is stranded",IF(AND(L38="Stop driving + roadside assistance",K38="No"),"Check: roadside with safety No is only OK if stuck somewhere unsafe",IF(AND(H38="Other / Unclear",L38&lt;&gt;"Contact customer for more information"),"Check: unclear tickets usually need contact customer",IF(AND(L38="Explain to customer (no repair needed)",J38&lt;&gt;"P3"),"Check: no repair needed is usually P3","OK")))))))))</f>
        <v/>
      </c>
    </row>
    <row r="39" ht="15" customHeight="1" s="13">
      <c r="A39" s="19" t="n"/>
      <c r="B39" s="19" t="n"/>
      <c r="C39" s="19" t="n"/>
      <c r="D39" s="19" t="n"/>
      <c r="E39" s="19" t="n"/>
      <c r="F39" s="19" t="n"/>
      <c r="G39" s="19" t="n"/>
      <c r="H39" s="21" t="n"/>
      <c r="I39" s="21" t="n"/>
      <c r="J39" s="21" t="n"/>
      <c r="K39" s="21" t="n"/>
      <c r="L39" s="21" t="n"/>
      <c r="M39" s="21" t="n"/>
      <c r="N39" s="21" t="n"/>
      <c r="O39" s="19">
        <f>IF(COUNTA(H39,J39:L39)=0,"",IF(COUNTA(H39,J39:L39)&lt;4,"Incomplete: fill all four labels",IF(AND(K39="Yes",J39="P3"),"Error: safety Yes can't be P3",IF(AND(K39="Yes",L39="Explain to customer (no repair needed)"),"Error: safety Yes needs a repair, not explain",IF(AND(I39&lt;&gt;"",I39=H39),"Error: alt_category is the same as category",IF(AND(J39="P1",K39="No"),"Check: P1 with safety No is only OK if the customer is stranded",IF(AND(L39="Stop driving + roadside assistance",K39="No"),"Check: roadside with safety No is only OK if stuck somewhere unsafe",IF(AND(H39="Other / Unclear",L39&lt;&gt;"Contact customer for more information"),"Check: unclear tickets usually need contact customer",IF(AND(L39="Explain to customer (no repair needed)",J39&lt;&gt;"P3"),"Check: no repair needed is usually P3","OK")))))))))</f>
        <v/>
      </c>
    </row>
    <row r="40" ht="15" customHeight="1" s="13">
      <c r="A40" s="19" t="n"/>
      <c r="B40" s="19" t="n"/>
      <c r="C40" s="19" t="n"/>
      <c r="D40" s="19" t="n"/>
      <c r="E40" s="19" t="n"/>
      <c r="F40" s="19" t="n"/>
      <c r="G40" s="19" t="n"/>
      <c r="H40" s="21" t="n"/>
      <c r="I40" s="21" t="n"/>
      <c r="J40" s="21" t="n"/>
      <c r="K40" s="21" t="n"/>
      <c r="L40" s="21" t="n"/>
      <c r="M40" s="21" t="n"/>
      <c r="N40" s="21" t="n"/>
      <c r="O40" s="19">
        <f>IF(COUNTA(H40,J40:L40)=0,"",IF(COUNTA(H40,J40:L40)&lt;4,"Incomplete: fill all four labels",IF(AND(K40="Yes",J40="P3"),"Error: safety Yes can't be P3",IF(AND(K40="Yes",L40="Explain to customer (no repair needed)"),"Error: safety Yes needs a repair, not explain",IF(AND(I40&lt;&gt;"",I40=H40),"Error: alt_category is the same as category",IF(AND(J40="P1",K40="No"),"Check: P1 with safety No is only OK if the customer is stranded",IF(AND(L40="Stop driving + roadside assistance",K40="No"),"Check: roadside with safety No is only OK if stuck somewhere unsafe",IF(AND(H40="Other / Unclear",L40&lt;&gt;"Contact customer for more information"),"Check: unclear tickets usually need contact customer",IF(AND(L40="Explain to customer (no repair needed)",J40&lt;&gt;"P3"),"Check: no repair needed is usually P3","OK")))))))))</f>
        <v/>
      </c>
    </row>
    <row r="41" ht="15" customHeight="1" s="13">
      <c r="A41" s="19" t="n"/>
      <c r="B41" s="19" t="n"/>
      <c r="C41" s="19" t="n"/>
      <c r="D41" s="19" t="n"/>
      <c r="E41" s="19" t="n"/>
      <c r="F41" s="19" t="n"/>
      <c r="G41" s="19" t="n"/>
      <c r="H41" s="21" t="n"/>
      <c r="I41" s="21" t="n"/>
      <c r="J41" s="21" t="n"/>
      <c r="K41" s="21" t="n"/>
      <c r="L41" s="21" t="n"/>
      <c r="M41" s="21" t="n"/>
      <c r="N41" s="21" t="n"/>
      <c r="O41" s="19">
        <f>IF(COUNTA(H41,J41:L41)=0,"",IF(COUNTA(H41,J41:L41)&lt;4,"Incomplete: fill all four labels",IF(AND(K41="Yes",J41="P3"),"Error: safety Yes can't be P3",IF(AND(K41="Yes",L41="Explain to customer (no repair needed)"),"Error: safety Yes needs a repair, not explain",IF(AND(I41&lt;&gt;"",I41=H41),"Error: alt_category is the same as category",IF(AND(J41="P1",K41="No"),"Check: P1 with safety No is only OK if the customer is stranded",IF(AND(L41="Stop driving + roadside assistance",K41="No"),"Check: roadside with safety No is only OK if stuck somewhere unsafe",IF(AND(H41="Other / Unclear",L41&lt;&gt;"Contact customer for more information"),"Check: unclear tickets usually need contact customer",IF(AND(L41="Explain to customer (no repair needed)",J41&lt;&gt;"P3"),"Check: no repair needed is usually P3","OK")))))))))</f>
        <v/>
      </c>
    </row>
    <row r="42" ht="15" customHeight="1" s="13">
      <c r="A42" s="19" t="n"/>
      <c r="B42" s="19" t="n"/>
      <c r="C42" s="19" t="n"/>
      <c r="D42" s="19" t="n"/>
      <c r="E42" s="19" t="n"/>
      <c r="F42" s="19" t="n"/>
      <c r="G42" s="19" t="n"/>
      <c r="H42" s="21" t="n"/>
      <c r="I42" s="21" t="n"/>
      <c r="J42" s="21" t="n"/>
      <c r="K42" s="21" t="n"/>
      <c r="L42" s="21" t="n"/>
      <c r="M42" s="21" t="n"/>
      <c r="N42" s="21" t="n"/>
      <c r="O42" s="19">
        <f>IF(COUNTA(H42,J42:L42)=0,"",IF(COUNTA(H42,J42:L42)&lt;4,"Incomplete: fill all four labels",IF(AND(K42="Yes",J42="P3"),"Error: safety Yes can't be P3",IF(AND(K42="Yes",L42="Explain to customer (no repair needed)"),"Error: safety Yes needs a repair, not explain",IF(AND(I42&lt;&gt;"",I42=H42),"Error: alt_category is the same as category",IF(AND(J42="P1",K42="No"),"Check: P1 with safety No is only OK if the customer is stranded",IF(AND(L42="Stop driving + roadside assistance",K42="No"),"Check: roadside with safety No is only OK if stuck somewhere unsafe",IF(AND(H42="Other / Unclear",L42&lt;&gt;"Contact customer for more information"),"Check: unclear tickets usually need contact customer",IF(AND(L42="Explain to customer (no repair needed)",J42&lt;&gt;"P3"),"Check: no repair needed is usually P3","OK")))))))))</f>
        <v/>
      </c>
    </row>
    <row r="43" ht="15" customHeight="1" s="13">
      <c r="A43" s="19" t="n"/>
      <c r="B43" s="19" t="n"/>
      <c r="C43" s="19" t="n"/>
      <c r="D43" s="19" t="n"/>
      <c r="E43" s="19" t="n"/>
      <c r="F43" s="19" t="n"/>
      <c r="G43" s="19" t="n"/>
      <c r="H43" s="21" t="n"/>
      <c r="I43" s="21" t="n"/>
      <c r="J43" s="21" t="n"/>
      <c r="K43" s="21" t="n"/>
      <c r="L43" s="21" t="n"/>
      <c r="M43" s="21" t="n"/>
      <c r="N43" s="21" t="n"/>
      <c r="O43" s="19">
        <f>IF(COUNTA(H43,J43:L43)=0,"",IF(COUNTA(H43,J43:L43)&lt;4,"Incomplete: fill all four labels",IF(AND(K43="Yes",J43="P3"),"Error: safety Yes can't be P3",IF(AND(K43="Yes",L43="Explain to customer (no repair needed)"),"Error: safety Yes needs a repair, not explain",IF(AND(I43&lt;&gt;"",I43=H43),"Error: alt_category is the same as category",IF(AND(J43="P1",K43="No"),"Check: P1 with safety No is only OK if the customer is stranded",IF(AND(L43="Stop driving + roadside assistance",K43="No"),"Check: roadside with safety No is only OK if stuck somewhere unsafe",IF(AND(H43="Other / Unclear",L43&lt;&gt;"Contact customer for more information"),"Check: unclear tickets usually need contact customer",IF(AND(L43="Explain to customer (no repair needed)",J43&lt;&gt;"P3"),"Check: no repair needed is usually P3","OK")))))))))</f>
        <v/>
      </c>
    </row>
    <row r="44" ht="15" customHeight="1" s="13">
      <c r="A44" s="19" t="n"/>
      <c r="B44" s="19" t="n"/>
      <c r="C44" s="19" t="n"/>
      <c r="D44" s="19" t="n"/>
      <c r="E44" s="19" t="n"/>
      <c r="F44" s="19" t="n"/>
      <c r="G44" s="19" t="n"/>
      <c r="H44" s="21" t="n"/>
      <c r="I44" s="21" t="n"/>
      <c r="J44" s="21" t="n"/>
      <c r="K44" s="21" t="n"/>
      <c r="L44" s="21" t="n"/>
      <c r="M44" s="21" t="n"/>
      <c r="N44" s="21" t="n"/>
      <c r="O44" s="19">
        <f>IF(COUNTA(H44,J44:L44)=0,"",IF(COUNTA(H44,J44:L44)&lt;4,"Incomplete: fill all four labels",IF(AND(K44="Yes",J44="P3"),"Error: safety Yes can't be P3",IF(AND(K44="Yes",L44="Explain to customer (no repair needed)"),"Error: safety Yes needs a repair, not explain",IF(AND(I44&lt;&gt;"",I44=H44),"Error: alt_category is the same as category",IF(AND(J44="P1",K44="No"),"Check: P1 with safety No is only OK if the customer is stranded",IF(AND(L44="Stop driving + roadside assistance",K44="No"),"Check: roadside with safety No is only OK if stuck somewhere unsafe",IF(AND(H44="Other / Unclear",L44&lt;&gt;"Contact customer for more information"),"Check: unclear tickets usually need contact customer",IF(AND(L44="Explain to customer (no repair needed)",J44&lt;&gt;"P3"),"Check: no repair needed is usually P3","OK")))))))))</f>
        <v/>
      </c>
    </row>
    <row r="45" ht="15" customHeight="1" s="13">
      <c r="A45" s="19" t="n"/>
      <c r="B45" s="19" t="n"/>
      <c r="C45" s="19" t="n"/>
      <c r="D45" s="19" t="n"/>
      <c r="E45" s="19" t="n"/>
      <c r="F45" s="19" t="n"/>
      <c r="G45" s="19" t="n"/>
      <c r="H45" s="21" t="n"/>
      <c r="I45" s="21" t="n"/>
      <c r="J45" s="21" t="n"/>
      <c r="K45" s="21" t="n"/>
      <c r="L45" s="21" t="n"/>
      <c r="M45" s="21" t="n"/>
      <c r="N45" s="21" t="n"/>
      <c r="O45" s="19">
        <f>IF(COUNTA(H45,J45:L45)=0,"",IF(COUNTA(H45,J45:L45)&lt;4,"Incomplete: fill all four labels",IF(AND(K45="Yes",J45="P3"),"Error: safety Yes can't be P3",IF(AND(K45="Yes",L45="Explain to customer (no repair needed)"),"Error: safety Yes needs a repair, not explain",IF(AND(I45&lt;&gt;"",I45=H45),"Error: alt_category is the same as category",IF(AND(J45="P1",K45="No"),"Check: P1 with safety No is only OK if the customer is stranded",IF(AND(L45="Stop driving + roadside assistance",K45="No"),"Check: roadside with safety No is only OK if stuck somewhere unsafe",IF(AND(H45="Other / Unclear",L45&lt;&gt;"Contact customer for more information"),"Check: unclear tickets usually need contact customer",IF(AND(L45="Explain to customer (no repair needed)",J45&lt;&gt;"P3"),"Check: no repair needed is usually P3","OK")))))))))</f>
        <v/>
      </c>
    </row>
    <row r="46" ht="15" customHeight="1" s="13">
      <c r="A46" s="19" t="n"/>
      <c r="B46" s="19" t="n"/>
      <c r="C46" s="19" t="n"/>
      <c r="D46" s="19" t="n"/>
      <c r="E46" s="19" t="n"/>
      <c r="F46" s="19" t="n"/>
      <c r="G46" s="19" t="n"/>
      <c r="H46" s="21" t="n"/>
      <c r="I46" s="21" t="n"/>
      <c r="J46" s="21" t="n"/>
      <c r="K46" s="21" t="n"/>
      <c r="L46" s="21" t="n"/>
      <c r="M46" s="21" t="n"/>
      <c r="N46" s="21" t="n"/>
      <c r="O46" s="19">
        <f>IF(COUNTA(H46,J46:L46)=0,"",IF(COUNTA(H46,J46:L46)&lt;4,"Incomplete: fill all four labels",IF(AND(K46="Yes",J46="P3"),"Error: safety Yes can't be P3",IF(AND(K46="Yes",L46="Explain to customer (no repair needed)"),"Error: safety Yes needs a repair, not explain",IF(AND(I46&lt;&gt;"",I46=H46),"Error: alt_category is the same as category",IF(AND(J46="P1",K46="No"),"Check: P1 with safety No is only OK if the customer is stranded",IF(AND(L46="Stop driving + roadside assistance",K46="No"),"Check: roadside with safety No is only OK if stuck somewhere unsafe",IF(AND(H46="Other / Unclear",L46&lt;&gt;"Contact customer for more information"),"Check: unclear tickets usually need contact customer",IF(AND(L46="Explain to customer (no repair needed)",J46&lt;&gt;"P3"),"Check: no repair needed is usually P3","OK")))))))))</f>
        <v/>
      </c>
    </row>
    <row r="47" ht="15" customHeight="1" s="13">
      <c r="A47" s="19" t="n"/>
      <c r="B47" s="19" t="n"/>
      <c r="C47" s="19" t="n"/>
      <c r="D47" s="19" t="n"/>
      <c r="E47" s="19" t="n"/>
      <c r="F47" s="19" t="n"/>
      <c r="G47" s="19" t="n"/>
      <c r="H47" s="21" t="n"/>
      <c r="I47" s="21" t="n"/>
      <c r="J47" s="21" t="n"/>
      <c r="K47" s="21" t="n"/>
      <c r="L47" s="21" t="n"/>
      <c r="M47" s="21" t="n"/>
      <c r="N47" s="21" t="n"/>
      <c r="O47" s="19">
        <f>IF(COUNTA(H47,J47:L47)=0,"",IF(COUNTA(H47,J47:L47)&lt;4,"Incomplete: fill all four labels",IF(AND(K47="Yes",J47="P3"),"Error: safety Yes can't be P3",IF(AND(K47="Yes",L47="Explain to customer (no repair needed)"),"Error: safety Yes needs a repair, not explain",IF(AND(I47&lt;&gt;"",I47=H47),"Error: alt_category is the same as category",IF(AND(J47="P1",K47="No"),"Check: P1 with safety No is only OK if the customer is stranded",IF(AND(L47="Stop driving + roadside assistance",K47="No"),"Check: roadside with safety No is only OK if stuck somewhere unsafe",IF(AND(H47="Other / Unclear",L47&lt;&gt;"Contact customer for more information"),"Check: unclear tickets usually need contact customer",IF(AND(L47="Explain to customer (no repair needed)",J47&lt;&gt;"P3"),"Check: no repair needed is usually P3","OK")))))))))</f>
        <v/>
      </c>
    </row>
    <row r="48" ht="15" customHeight="1" s="13">
      <c r="A48" s="19" t="n"/>
      <c r="B48" s="19" t="n"/>
      <c r="C48" s="19" t="n"/>
      <c r="D48" s="19" t="n"/>
      <c r="E48" s="19" t="n"/>
      <c r="F48" s="19" t="n"/>
      <c r="G48" s="19" t="n"/>
      <c r="H48" s="21" t="n"/>
      <c r="I48" s="21" t="n"/>
      <c r="J48" s="21" t="n"/>
      <c r="K48" s="21" t="n"/>
      <c r="L48" s="21" t="n"/>
      <c r="M48" s="21" t="n"/>
      <c r="N48" s="21" t="n"/>
      <c r="O48" s="19">
        <f>IF(COUNTA(H48,J48:L48)=0,"",IF(COUNTA(H48,J48:L48)&lt;4,"Incomplete: fill all four labels",IF(AND(K48="Yes",J48="P3"),"Error: safety Yes can't be P3",IF(AND(K48="Yes",L48="Explain to customer (no repair needed)"),"Error: safety Yes needs a repair, not explain",IF(AND(I48&lt;&gt;"",I48=H48),"Error: alt_category is the same as category",IF(AND(J48="P1",K48="No"),"Check: P1 with safety No is only OK if the customer is stranded",IF(AND(L48="Stop driving + roadside assistance",K48="No"),"Check: roadside with safety No is only OK if stuck somewhere unsafe",IF(AND(H48="Other / Unclear",L48&lt;&gt;"Contact customer for more information"),"Check: unclear tickets usually need contact customer",IF(AND(L48="Explain to customer (no repair needed)",J48&lt;&gt;"P3"),"Check: no repair needed is usually P3","OK")))))))))</f>
        <v/>
      </c>
    </row>
    <row r="49" ht="15" customHeight="1" s="13">
      <c r="A49" s="19" t="n"/>
      <c r="B49" s="19" t="n"/>
      <c r="C49" s="19" t="n"/>
      <c r="D49" s="19" t="n"/>
      <c r="E49" s="19" t="n"/>
      <c r="F49" s="19" t="n"/>
      <c r="G49" s="19" t="n"/>
      <c r="H49" s="21" t="n"/>
      <c r="I49" s="21" t="n"/>
      <c r="J49" s="21" t="n"/>
      <c r="K49" s="21" t="n"/>
      <c r="L49" s="21" t="n"/>
      <c r="M49" s="21" t="n"/>
      <c r="N49" s="21" t="n"/>
      <c r="O49" s="19">
        <f>IF(COUNTA(H49,J49:L49)=0,"",IF(COUNTA(H49,J49:L49)&lt;4,"Incomplete: fill all four labels",IF(AND(K49="Yes",J49="P3"),"Error: safety Yes can't be P3",IF(AND(K49="Yes",L49="Explain to customer (no repair needed)"),"Error: safety Yes needs a repair, not explain",IF(AND(I49&lt;&gt;"",I49=H49),"Error: alt_category is the same as category",IF(AND(J49="P1",K49="No"),"Check: P1 with safety No is only OK if the customer is stranded",IF(AND(L49="Stop driving + roadside assistance",K49="No"),"Check: roadside with safety No is only OK if stuck somewhere unsafe",IF(AND(H49="Other / Unclear",L49&lt;&gt;"Contact customer for more information"),"Check: unclear tickets usually need contact customer",IF(AND(L49="Explain to customer (no repair needed)",J49&lt;&gt;"P3"),"Check: no repair needed is usually P3","OK")))))))))</f>
        <v/>
      </c>
    </row>
    <row r="50" ht="15" customHeight="1" s="13">
      <c r="A50" s="19" t="n"/>
      <c r="B50" s="19" t="n"/>
      <c r="C50" s="19" t="n"/>
      <c r="D50" s="19" t="n"/>
      <c r="E50" s="19" t="n"/>
      <c r="F50" s="19" t="n"/>
      <c r="G50" s="19" t="n"/>
      <c r="H50" s="21" t="n"/>
      <c r="I50" s="21" t="n"/>
      <c r="J50" s="21" t="n"/>
      <c r="K50" s="21" t="n"/>
      <c r="L50" s="21" t="n"/>
      <c r="M50" s="21" t="n"/>
      <c r="N50" s="21" t="n"/>
      <c r="O50" s="19">
        <f>IF(COUNTA(H50,J50:L50)=0,"",IF(COUNTA(H50,J50:L50)&lt;4,"Incomplete: fill all four labels",IF(AND(K50="Yes",J50="P3"),"Error: safety Yes can't be P3",IF(AND(K50="Yes",L50="Explain to customer (no repair needed)"),"Error: safety Yes needs a repair, not explain",IF(AND(I50&lt;&gt;"",I50=H50),"Error: alt_category is the same as category",IF(AND(J50="P1",K50="No"),"Check: P1 with safety No is only OK if the customer is stranded",IF(AND(L50="Stop driving + roadside assistance",K50="No"),"Check: roadside with safety No is only OK if stuck somewhere unsafe",IF(AND(H50="Other / Unclear",L50&lt;&gt;"Contact customer for more information"),"Check: unclear tickets usually need contact customer",IF(AND(L50="Explain to customer (no repair needed)",J50&lt;&gt;"P3"),"Check: no repair needed is usually P3","OK")))))))))</f>
        <v/>
      </c>
    </row>
    <row r="51" ht="15" customHeight="1" s="13">
      <c r="A51" s="19" t="n"/>
      <c r="B51" s="19" t="n"/>
      <c r="C51" s="19" t="n"/>
      <c r="D51" s="19" t="n"/>
      <c r="E51" s="19" t="n"/>
      <c r="F51" s="19" t="n"/>
      <c r="G51" s="19" t="n"/>
      <c r="H51" s="21" t="n"/>
      <c r="I51" s="21" t="n"/>
      <c r="J51" s="21" t="n"/>
      <c r="K51" s="21" t="n"/>
      <c r="L51" s="21" t="n"/>
      <c r="M51" s="21" t="n"/>
      <c r="N51" s="21" t="n"/>
      <c r="O51" s="19">
        <f>IF(COUNTA(H51,J51:L51)=0,"",IF(COUNTA(H51,J51:L51)&lt;4,"Incomplete: fill all four labels",IF(AND(K51="Yes",J51="P3"),"Error: safety Yes can't be P3",IF(AND(K51="Yes",L51="Explain to customer (no repair needed)"),"Error: safety Yes needs a repair, not explain",IF(AND(I51&lt;&gt;"",I51=H51),"Error: alt_category is the same as category",IF(AND(J51="P1",K51="No"),"Check: P1 with safety No is only OK if the customer is stranded",IF(AND(L51="Stop driving + roadside assistance",K51="No"),"Check: roadside with safety No is only OK if stuck somewhere unsafe",IF(AND(H51="Other / Unclear",L51&lt;&gt;"Contact customer for more information"),"Check: unclear tickets usually need contact customer",IF(AND(L51="Explain to customer (no repair needed)",J51&lt;&gt;"P3"),"Check: no repair needed is usually P3","OK")))))))))</f>
        <v/>
      </c>
    </row>
    <row r="52" ht="15" customHeight="1" s="13">
      <c r="A52" s="19" t="n"/>
      <c r="B52" s="19" t="n"/>
      <c r="C52" s="19" t="n"/>
      <c r="D52" s="19" t="n"/>
      <c r="E52" s="19" t="n"/>
      <c r="F52" s="19" t="n"/>
      <c r="G52" s="19" t="n"/>
      <c r="H52" s="21" t="n"/>
      <c r="I52" s="21" t="n"/>
      <c r="J52" s="21" t="n"/>
      <c r="K52" s="21" t="n"/>
      <c r="L52" s="21" t="n"/>
      <c r="M52" s="21" t="n"/>
      <c r="N52" s="21" t="n"/>
      <c r="O52" s="19">
        <f>IF(COUNTA(H52,J52:L52)=0,"",IF(COUNTA(H52,J52:L52)&lt;4,"Incomplete: fill all four labels",IF(AND(K52="Yes",J52="P3"),"Error: safety Yes can't be P3",IF(AND(K52="Yes",L52="Explain to customer (no repair needed)"),"Error: safety Yes needs a repair, not explain",IF(AND(I52&lt;&gt;"",I52=H52),"Error: alt_category is the same as category",IF(AND(J52="P1",K52="No"),"Check: P1 with safety No is only OK if the customer is stranded",IF(AND(L52="Stop driving + roadside assistance",K52="No"),"Check: roadside with safety No is only OK if stuck somewhere unsafe",IF(AND(H52="Other / Unclear",L52&lt;&gt;"Contact customer for more information"),"Check: unclear tickets usually need contact customer",IF(AND(L52="Explain to customer (no repair needed)",J52&lt;&gt;"P3"),"Check: no repair needed is usually P3","OK")))))))))</f>
        <v/>
      </c>
    </row>
    <row r="53" ht="15" customHeight="1" s="13">
      <c r="A53" s="19" t="n"/>
      <c r="B53" s="19" t="n"/>
      <c r="C53" s="19" t="n"/>
      <c r="D53" s="19" t="n"/>
      <c r="E53" s="19" t="n"/>
      <c r="F53" s="19" t="n"/>
      <c r="G53" s="19" t="n"/>
      <c r="H53" s="21" t="n"/>
      <c r="I53" s="21" t="n"/>
      <c r="J53" s="21" t="n"/>
      <c r="K53" s="21" t="n"/>
      <c r="L53" s="21" t="n"/>
      <c r="M53" s="21" t="n"/>
      <c r="N53" s="21" t="n"/>
      <c r="O53" s="19">
        <f>IF(COUNTA(H53,J53:L53)=0,"",IF(COUNTA(H53,J53:L53)&lt;4,"Incomplete: fill all four labels",IF(AND(K53="Yes",J53="P3"),"Error: safety Yes can't be P3",IF(AND(K53="Yes",L53="Explain to customer (no repair needed)"),"Error: safety Yes needs a repair, not explain",IF(AND(I53&lt;&gt;"",I53=H53),"Error: alt_category is the same as category",IF(AND(J53="P1",K53="No"),"Check: P1 with safety No is only OK if the customer is stranded",IF(AND(L53="Stop driving + roadside assistance",K53="No"),"Check: roadside with safety No is only OK if stuck somewhere unsafe",IF(AND(H53="Other / Unclear",L53&lt;&gt;"Contact customer for more information"),"Check: unclear tickets usually need contact customer",IF(AND(L53="Explain to customer (no repair needed)",J53&lt;&gt;"P3"),"Check: no repair needed is usually P3","OK")))))))))</f>
        <v/>
      </c>
    </row>
    <row r="54" ht="15" customHeight="1" s="13">
      <c r="A54" s="19" t="n"/>
      <c r="B54" s="19" t="n"/>
      <c r="C54" s="19" t="n"/>
      <c r="D54" s="19" t="n"/>
      <c r="E54" s="19" t="n"/>
      <c r="F54" s="19" t="n"/>
      <c r="G54" s="19" t="n"/>
      <c r="H54" s="21" t="n"/>
      <c r="I54" s="21" t="n"/>
      <c r="J54" s="21" t="n"/>
      <c r="K54" s="21" t="n"/>
      <c r="L54" s="21" t="n"/>
      <c r="M54" s="21" t="n"/>
      <c r="N54" s="21" t="n"/>
      <c r="O54" s="19">
        <f>IF(COUNTA(H54,J54:L54)=0,"",IF(COUNTA(H54,J54:L54)&lt;4,"Incomplete: fill all four labels",IF(AND(K54="Yes",J54="P3"),"Error: safety Yes can't be P3",IF(AND(K54="Yes",L54="Explain to customer (no repair needed)"),"Error: safety Yes needs a repair, not explain",IF(AND(I54&lt;&gt;"",I54=H54),"Error: alt_category is the same as category",IF(AND(J54="P1",K54="No"),"Check: P1 with safety No is only OK if the customer is stranded",IF(AND(L54="Stop driving + roadside assistance",K54="No"),"Check: roadside with safety No is only OK if stuck somewhere unsafe",IF(AND(H54="Other / Unclear",L54&lt;&gt;"Contact customer for more information"),"Check: unclear tickets usually need contact customer",IF(AND(L54="Explain to customer (no repair needed)",J54&lt;&gt;"P3"),"Check: no repair needed is usually P3","OK")))))))))</f>
        <v/>
      </c>
    </row>
    <row r="55" ht="15" customHeight="1" s="13">
      <c r="A55" s="19" t="n"/>
      <c r="B55" s="19" t="n"/>
      <c r="C55" s="19" t="n"/>
      <c r="D55" s="19" t="n"/>
      <c r="E55" s="19" t="n"/>
      <c r="F55" s="19" t="n"/>
      <c r="G55" s="19" t="n"/>
      <c r="H55" s="21" t="n"/>
      <c r="I55" s="21" t="n"/>
      <c r="J55" s="21" t="n"/>
      <c r="K55" s="21" t="n"/>
      <c r="L55" s="21" t="n"/>
      <c r="M55" s="21" t="n"/>
      <c r="N55" s="21" t="n"/>
      <c r="O55" s="19">
        <f>IF(COUNTA(H55,J55:L55)=0,"",IF(COUNTA(H55,J55:L55)&lt;4,"Incomplete: fill all four labels",IF(AND(K55="Yes",J55="P3"),"Error: safety Yes can't be P3",IF(AND(K55="Yes",L55="Explain to customer (no repair needed)"),"Error: safety Yes needs a repair, not explain",IF(AND(I55&lt;&gt;"",I55=H55),"Error: alt_category is the same as category",IF(AND(J55="P1",K55="No"),"Check: P1 with safety No is only OK if the customer is stranded",IF(AND(L55="Stop driving + roadside assistance",K55="No"),"Check: roadside with safety No is only OK if stuck somewhere unsafe",IF(AND(H55="Other / Unclear",L55&lt;&gt;"Contact customer for more information"),"Check: unclear tickets usually need contact customer",IF(AND(L55="Explain to customer (no repair needed)",J55&lt;&gt;"P3"),"Check: no repair needed is usually P3","OK")))))))))</f>
        <v/>
      </c>
    </row>
    <row r="56" ht="15" customHeight="1" s="13">
      <c r="A56" s="19" t="n"/>
      <c r="B56" s="19" t="n"/>
      <c r="C56" s="19" t="n"/>
      <c r="D56" s="19" t="n"/>
      <c r="E56" s="19" t="n"/>
      <c r="F56" s="19" t="n"/>
      <c r="G56" s="19" t="n"/>
      <c r="H56" s="21" t="n"/>
      <c r="I56" s="21" t="n"/>
      <c r="J56" s="21" t="n"/>
      <c r="K56" s="21" t="n"/>
      <c r="L56" s="21" t="n"/>
      <c r="M56" s="21" t="n"/>
      <c r="N56" s="21" t="n"/>
      <c r="O56" s="19">
        <f>IF(COUNTA(H56,J56:L56)=0,"",IF(COUNTA(H56,J56:L56)&lt;4,"Incomplete: fill all four labels",IF(AND(K56="Yes",J56="P3"),"Error: safety Yes can't be P3",IF(AND(K56="Yes",L56="Explain to customer (no repair needed)"),"Error: safety Yes needs a repair, not explain",IF(AND(I56&lt;&gt;"",I56=H56),"Error: alt_category is the same as category",IF(AND(J56="P1",K56="No"),"Check: P1 with safety No is only OK if the customer is stranded",IF(AND(L56="Stop driving + roadside assistance",K56="No"),"Check: roadside with safety No is only OK if stuck somewhere unsafe",IF(AND(H56="Other / Unclear",L56&lt;&gt;"Contact customer for more information"),"Check: unclear tickets usually need contact customer",IF(AND(L56="Explain to customer (no repair needed)",J56&lt;&gt;"P3"),"Check: no repair needed is usually P3","OK")))))))))</f>
        <v/>
      </c>
    </row>
    <row r="57" ht="15" customHeight="1" s="13">
      <c r="A57" s="19" t="n"/>
      <c r="B57" s="19" t="n"/>
      <c r="C57" s="19" t="n"/>
      <c r="D57" s="19" t="n"/>
      <c r="E57" s="19" t="n"/>
      <c r="F57" s="19" t="n"/>
      <c r="G57" s="19" t="n"/>
      <c r="H57" s="21" t="n"/>
      <c r="I57" s="21" t="n"/>
      <c r="J57" s="21" t="n"/>
      <c r="K57" s="21" t="n"/>
      <c r="L57" s="21" t="n"/>
      <c r="M57" s="21" t="n"/>
      <c r="N57" s="21" t="n"/>
      <c r="O57" s="19">
        <f>IF(COUNTA(H57,J57:L57)=0,"",IF(COUNTA(H57,J57:L57)&lt;4,"Incomplete: fill all four labels",IF(AND(K57="Yes",J57="P3"),"Error: safety Yes can't be P3",IF(AND(K57="Yes",L57="Explain to customer (no repair needed)"),"Error: safety Yes needs a repair, not explain",IF(AND(I57&lt;&gt;"",I57=H57),"Error: alt_category is the same as category",IF(AND(J57="P1",K57="No"),"Check: P1 with safety No is only OK if the customer is stranded",IF(AND(L57="Stop driving + roadside assistance",K57="No"),"Check: roadside with safety No is only OK if stuck somewhere unsafe",IF(AND(H57="Other / Unclear",L57&lt;&gt;"Contact customer for more information"),"Check: unclear tickets usually need contact customer",IF(AND(L57="Explain to customer (no repair needed)",J57&lt;&gt;"P3"),"Check: no repair needed is usually P3","OK")))))))))</f>
        <v/>
      </c>
    </row>
    <row r="58" ht="15" customHeight="1" s="13">
      <c r="A58" s="19" t="n"/>
      <c r="B58" s="19" t="n"/>
      <c r="C58" s="19" t="n"/>
      <c r="D58" s="19" t="n"/>
      <c r="E58" s="19" t="n"/>
      <c r="F58" s="19" t="n"/>
      <c r="G58" s="19" t="n"/>
      <c r="H58" s="21" t="n"/>
      <c r="I58" s="21" t="n"/>
      <c r="J58" s="21" t="n"/>
      <c r="K58" s="21" t="n"/>
      <c r="L58" s="21" t="n"/>
      <c r="M58" s="21" t="n"/>
      <c r="N58" s="21" t="n"/>
      <c r="O58" s="19">
        <f>IF(COUNTA(H58,J58:L58)=0,"",IF(COUNTA(H58,J58:L58)&lt;4,"Incomplete: fill all four labels",IF(AND(K58="Yes",J58="P3"),"Error: safety Yes can't be P3",IF(AND(K58="Yes",L58="Explain to customer (no repair needed)"),"Error: safety Yes needs a repair, not explain",IF(AND(I58&lt;&gt;"",I58=H58),"Error: alt_category is the same as category",IF(AND(J58="P1",K58="No"),"Check: P1 with safety No is only OK if the customer is stranded",IF(AND(L58="Stop driving + roadside assistance",K58="No"),"Check: roadside with safety No is only OK if stuck somewhere unsafe",IF(AND(H58="Other / Unclear",L58&lt;&gt;"Contact customer for more information"),"Check: unclear tickets usually need contact customer",IF(AND(L58="Explain to customer (no repair needed)",J58&lt;&gt;"P3"),"Check: no repair needed is usually P3","OK")))))))))</f>
        <v/>
      </c>
    </row>
    <row r="59" ht="15" customHeight="1" s="13">
      <c r="A59" s="19" t="n"/>
      <c r="B59" s="19" t="n"/>
      <c r="C59" s="19" t="n"/>
      <c r="D59" s="19" t="n"/>
      <c r="E59" s="19" t="n"/>
      <c r="F59" s="19" t="n"/>
      <c r="G59" s="19" t="n"/>
      <c r="H59" s="21" t="n"/>
      <c r="I59" s="21" t="n"/>
      <c r="J59" s="21" t="n"/>
      <c r="K59" s="21" t="n"/>
      <c r="L59" s="21" t="n"/>
      <c r="M59" s="21" t="n"/>
      <c r="N59" s="21" t="n"/>
      <c r="O59" s="19">
        <f>IF(COUNTA(H59,J59:L59)=0,"",IF(COUNTA(H59,J59:L59)&lt;4,"Incomplete: fill all four labels",IF(AND(K59="Yes",J59="P3"),"Error: safety Yes can't be P3",IF(AND(K59="Yes",L59="Explain to customer (no repair needed)"),"Error: safety Yes needs a repair, not explain",IF(AND(I59&lt;&gt;"",I59=H59),"Error: alt_category is the same as category",IF(AND(J59="P1",K59="No"),"Check: P1 with safety No is only OK if the customer is stranded",IF(AND(L59="Stop driving + roadside assistance",K59="No"),"Check: roadside with safety No is only OK if stuck somewhere unsafe",IF(AND(H59="Other / Unclear",L59&lt;&gt;"Contact customer for more information"),"Check: unclear tickets usually need contact customer",IF(AND(L59="Explain to customer (no repair needed)",J59&lt;&gt;"P3"),"Check: no repair needed is usually P3","OK")))))))))</f>
        <v/>
      </c>
    </row>
    <row r="60" ht="15" customHeight="1" s="13">
      <c r="A60" s="19" t="n"/>
      <c r="B60" s="19" t="n"/>
      <c r="C60" s="19" t="n"/>
      <c r="D60" s="19" t="n"/>
      <c r="E60" s="19" t="n"/>
      <c r="F60" s="19" t="n"/>
      <c r="G60" s="19" t="n"/>
      <c r="H60" s="21" t="n"/>
      <c r="I60" s="21" t="n"/>
      <c r="J60" s="21" t="n"/>
      <c r="K60" s="21" t="n"/>
      <c r="L60" s="21" t="n"/>
      <c r="M60" s="21" t="n"/>
      <c r="N60" s="21" t="n"/>
      <c r="O60" s="19">
        <f>IF(COUNTA(H60,J60:L60)=0,"",IF(COUNTA(H60,J60:L60)&lt;4,"Incomplete: fill all four labels",IF(AND(K60="Yes",J60="P3"),"Error: safety Yes can't be P3",IF(AND(K60="Yes",L60="Explain to customer (no repair needed)"),"Error: safety Yes needs a repair, not explain",IF(AND(I60&lt;&gt;"",I60=H60),"Error: alt_category is the same as category",IF(AND(J60="P1",K60="No"),"Check: P1 with safety No is only OK if the customer is stranded",IF(AND(L60="Stop driving + roadside assistance",K60="No"),"Check: roadside with safety No is only OK if stuck somewhere unsafe",IF(AND(H60="Other / Unclear",L60&lt;&gt;"Contact customer for more information"),"Check: unclear tickets usually need contact customer",IF(AND(L60="Explain to customer (no repair needed)",J60&lt;&gt;"P3"),"Check: no repair needed is usually P3","OK")))))))))</f>
        <v/>
      </c>
    </row>
    <row r="61" ht="15" customHeight="1" s="13">
      <c r="A61" s="19" t="n"/>
      <c r="B61" s="19" t="n"/>
      <c r="C61" s="19" t="n"/>
      <c r="D61" s="19" t="n"/>
      <c r="E61" s="19" t="n"/>
      <c r="F61" s="19" t="n"/>
      <c r="G61" s="19" t="n"/>
      <c r="H61" s="21" t="n"/>
      <c r="I61" s="21" t="n"/>
      <c r="J61" s="21" t="n"/>
      <c r="K61" s="21" t="n"/>
      <c r="L61" s="21" t="n"/>
      <c r="M61" s="21" t="n"/>
      <c r="N61" s="21" t="n"/>
      <c r="O61" s="19">
        <f>IF(COUNTA(H61,J61:L61)=0,"",IF(COUNTA(H61,J61:L61)&lt;4,"Incomplete: fill all four labels",IF(AND(K61="Yes",J61="P3"),"Error: safety Yes can't be P3",IF(AND(K61="Yes",L61="Explain to customer (no repair needed)"),"Error: safety Yes needs a repair, not explain",IF(AND(I61&lt;&gt;"",I61=H61),"Error: alt_category is the same as category",IF(AND(J61="P1",K61="No"),"Check: P1 with safety No is only OK if the customer is stranded",IF(AND(L61="Stop driving + roadside assistance",K61="No"),"Check: roadside with safety No is only OK if stuck somewhere unsafe",IF(AND(H61="Other / Unclear",L61&lt;&gt;"Contact customer for more information"),"Check: unclear tickets usually need contact customer",IF(AND(L61="Explain to customer (no repair needed)",J61&lt;&gt;"P3"),"Check: no repair needed is usually P3","OK")))))))))</f>
        <v/>
      </c>
    </row>
    <row r="62" ht="15" customHeight="1" s="13">
      <c r="A62" s="19" t="n"/>
      <c r="B62" s="19" t="n"/>
      <c r="C62" s="19" t="n"/>
      <c r="D62" s="19" t="n"/>
      <c r="E62" s="19" t="n"/>
      <c r="F62" s="19" t="n"/>
      <c r="G62" s="19" t="n"/>
      <c r="H62" s="21" t="n"/>
      <c r="I62" s="21" t="n"/>
      <c r="J62" s="21" t="n"/>
      <c r="K62" s="21" t="n"/>
      <c r="L62" s="21" t="n"/>
      <c r="M62" s="21" t="n"/>
      <c r="N62" s="21" t="n"/>
      <c r="O62" s="19">
        <f>IF(COUNTA(H62,J62:L62)=0,"",IF(COUNTA(H62,J62:L62)&lt;4,"Incomplete: fill all four labels",IF(AND(K62="Yes",J62="P3"),"Error: safety Yes can't be P3",IF(AND(K62="Yes",L62="Explain to customer (no repair needed)"),"Error: safety Yes needs a repair, not explain",IF(AND(I62&lt;&gt;"",I62=H62),"Error: alt_category is the same as category",IF(AND(J62="P1",K62="No"),"Check: P1 with safety No is only OK if the customer is stranded",IF(AND(L62="Stop driving + roadside assistance",K62="No"),"Check: roadside with safety No is only OK if stuck somewhere unsafe",IF(AND(H62="Other / Unclear",L62&lt;&gt;"Contact customer for more information"),"Check: unclear tickets usually need contact customer",IF(AND(L62="Explain to customer (no repair needed)",J62&lt;&gt;"P3"),"Check: no repair needed is usually P3","OK")))))))))</f>
        <v/>
      </c>
    </row>
    <row r="63" ht="15" customHeight="1" s="13">
      <c r="A63" s="19" t="n"/>
      <c r="B63" s="19" t="n"/>
      <c r="C63" s="19" t="n"/>
      <c r="D63" s="19" t="n"/>
      <c r="E63" s="19" t="n"/>
      <c r="F63" s="19" t="n"/>
      <c r="G63" s="19" t="n"/>
      <c r="H63" s="21" t="n"/>
      <c r="I63" s="21" t="n"/>
      <c r="J63" s="21" t="n"/>
      <c r="K63" s="21" t="n"/>
      <c r="L63" s="21" t="n"/>
      <c r="M63" s="21" t="n"/>
      <c r="N63" s="21" t="n"/>
      <c r="O63" s="19">
        <f>IF(COUNTA(H63,J63:L63)=0,"",IF(COUNTA(H63,J63:L63)&lt;4,"Incomplete: fill all four labels",IF(AND(K63="Yes",J63="P3"),"Error: safety Yes can't be P3",IF(AND(K63="Yes",L63="Explain to customer (no repair needed)"),"Error: safety Yes needs a repair, not explain",IF(AND(I63&lt;&gt;"",I63=H63),"Error: alt_category is the same as category",IF(AND(J63="P1",K63="No"),"Check: P1 with safety No is only OK if the customer is stranded",IF(AND(L63="Stop driving + roadside assistance",K63="No"),"Check: roadside with safety No is only OK if stuck somewhere unsafe",IF(AND(H63="Other / Unclear",L63&lt;&gt;"Contact customer for more information"),"Check: unclear tickets usually need contact customer",IF(AND(L63="Explain to customer (no repair needed)",J63&lt;&gt;"P3"),"Check: no repair needed is usually P3","OK")))))))))</f>
        <v/>
      </c>
    </row>
    <row r="64" ht="15" customHeight="1" s="13">
      <c r="A64" s="19" t="n"/>
      <c r="B64" s="19" t="n"/>
      <c r="C64" s="19" t="n"/>
      <c r="D64" s="19" t="n"/>
      <c r="E64" s="19" t="n"/>
      <c r="F64" s="19" t="n"/>
      <c r="G64" s="19" t="n"/>
      <c r="H64" s="21" t="n"/>
      <c r="I64" s="21" t="n"/>
      <c r="J64" s="21" t="n"/>
      <c r="K64" s="21" t="n"/>
      <c r="L64" s="21" t="n"/>
      <c r="M64" s="21" t="n"/>
      <c r="N64" s="21" t="n"/>
      <c r="O64" s="19">
        <f>IF(COUNTA(H64,J64:L64)=0,"",IF(COUNTA(H64,J64:L64)&lt;4,"Incomplete: fill all four labels",IF(AND(K64="Yes",J64="P3"),"Error: safety Yes can't be P3",IF(AND(K64="Yes",L64="Explain to customer (no repair needed)"),"Error: safety Yes needs a repair, not explain",IF(AND(I64&lt;&gt;"",I64=H64),"Error: alt_category is the same as category",IF(AND(J64="P1",K64="No"),"Check: P1 with safety No is only OK if the customer is stranded",IF(AND(L64="Stop driving + roadside assistance",K64="No"),"Check: roadside with safety No is only OK if stuck somewhere unsafe",IF(AND(H64="Other / Unclear",L64&lt;&gt;"Contact customer for more information"),"Check: unclear tickets usually need contact customer",IF(AND(L64="Explain to customer (no repair needed)",J64&lt;&gt;"P3"),"Check: no repair needed is usually P3","OK")))))))))</f>
        <v/>
      </c>
    </row>
    <row r="65" ht="15" customHeight="1" s="13">
      <c r="A65" s="19" t="n"/>
      <c r="B65" s="19" t="n"/>
      <c r="C65" s="19" t="n"/>
      <c r="D65" s="19" t="n"/>
      <c r="E65" s="19" t="n"/>
      <c r="F65" s="19" t="n"/>
      <c r="G65" s="19" t="n"/>
      <c r="H65" s="21" t="n"/>
      <c r="I65" s="21" t="n"/>
      <c r="J65" s="21" t="n"/>
      <c r="K65" s="21" t="n"/>
      <c r="L65" s="21" t="n"/>
      <c r="M65" s="21" t="n"/>
      <c r="N65" s="21" t="n"/>
      <c r="O65" s="19">
        <f>IF(COUNTA(H65,J65:L65)=0,"",IF(COUNTA(H65,J65:L65)&lt;4,"Incomplete: fill all four labels",IF(AND(K65="Yes",J65="P3"),"Error: safety Yes can't be P3",IF(AND(K65="Yes",L65="Explain to customer (no repair needed)"),"Error: safety Yes needs a repair, not explain",IF(AND(I65&lt;&gt;"",I65=H65),"Error: alt_category is the same as category",IF(AND(J65="P1",K65="No"),"Check: P1 with safety No is only OK if the customer is stranded",IF(AND(L65="Stop driving + roadside assistance",K65="No"),"Check: roadside with safety No is only OK if stuck somewhere unsafe",IF(AND(H65="Other / Unclear",L65&lt;&gt;"Contact customer for more information"),"Check: unclear tickets usually need contact customer",IF(AND(L65="Explain to customer (no repair needed)",J65&lt;&gt;"P3"),"Check: no repair needed is usually P3","OK")))))))))</f>
        <v/>
      </c>
    </row>
    <row r="66" ht="15" customHeight="1" s="13">
      <c r="A66" s="19" t="n"/>
      <c r="B66" s="19" t="n"/>
      <c r="C66" s="19" t="n"/>
      <c r="D66" s="19" t="n"/>
      <c r="E66" s="19" t="n"/>
      <c r="F66" s="19" t="n"/>
      <c r="G66" s="19" t="n"/>
      <c r="H66" s="21" t="n"/>
      <c r="I66" s="21" t="n"/>
      <c r="J66" s="21" t="n"/>
      <c r="K66" s="21" t="n"/>
      <c r="L66" s="21" t="n"/>
      <c r="M66" s="21" t="n"/>
      <c r="N66" s="21" t="n"/>
      <c r="O66" s="19">
        <f>IF(COUNTA(H66,J66:L66)=0,"",IF(COUNTA(H66,J66:L66)&lt;4,"Incomplete: fill all four labels",IF(AND(K66="Yes",J66="P3"),"Error: safety Yes can't be P3",IF(AND(K66="Yes",L66="Explain to customer (no repair needed)"),"Error: safety Yes needs a repair, not explain",IF(AND(I66&lt;&gt;"",I66=H66),"Error: alt_category is the same as category",IF(AND(J66="P1",K66="No"),"Check: P1 with safety No is only OK if the customer is stranded",IF(AND(L66="Stop driving + roadside assistance",K66="No"),"Check: roadside with safety No is only OK if stuck somewhere unsafe",IF(AND(H66="Other / Unclear",L66&lt;&gt;"Contact customer for more information"),"Check: unclear tickets usually need contact customer",IF(AND(L66="Explain to customer (no repair needed)",J66&lt;&gt;"P3"),"Check: no repair needed is usually P3","OK")))))))))</f>
        <v/>
      </c>
    </row>
    <row r="67" ht="15" customHeight="1" s="13">
      <c r="A67" s="19" t="n"/>
      <c r="B67" s="19" t="n"/>
      <c r="C67" s="19" t="n"/>
      <c r="D67" s="19" t="n"/>
      <c r="E67" s="19" t="n"/>
      <c r="F67" s="19" t="n"/>
      <c r="G67" s="19" t="n"/>
      <c r="H67" s="21" t="n"/>
      <c r="I67" s="21" t="n"/>
      <c r="J67" s="21" t="n"/>
      <c r="K67" s="21" t="n"/>
      <c r="L67" s="21" t="n"/>
      <c r="M67" s="21" t="n"/>
      <c r="N67" s="21" t="n"/>
      <c r="O67" s="19">
        <f>IF(COUNTA(H67,J67:L67)=0,"",IF(COUNTA(H67,J67:L67)&lt;4,"Incomplete: fill all four labels",IF(AND(K67="Yes",J67="P3"),"Error: safety Yes can't be P3",IF(AND(K67="Yes",L67="Explain to customer (no repair needed)"),"Error: safety Yes needs a repair, not explain",IF(AND(I67&lt;&gt;"",I67=H67),"Error: alt_category is the same as category",IF(AND(J67="P1",K67="No"),"Check: P1 with safety No is only OK if the customer is stranded",IF(AND(L67="Stop driving + roadside assistance",K67="No"),"Check: roadside with safety No is only OK if stuck somewhere unsafe",IF(AND(H67="Other / Unclear",L67&lt;&gt;"Contact customer for more information"),"Check: unclear tickets usually need contact customer",IF(AND(L67="Explain to customer (no repair needed)",J67&lt;&gt;"P3"),"Check: no repair needed is usually P3","OK")))))))))</f>
        <v/>
      </c>
    </row>
    <row r="68" ht="15" customHeight="1" s="13">
      <c r="A68" s="19" t="n"/>
      <c r="B68" s="19" t="n"/>
      <c r="C68" s="19" t="n"/>
      <c r="D68" s="19" t="n"/>
      <c r="E68" s="19" t="n"/>
      <c r="F68" s="19" t="n"/>
      <c r="G68" s="19" t="n"/>
      <c r="H68" s="21" t="n"/>
      <c r="I68" s="21" t="n"/>
      <c r="J68" s="21" t="n"/>
      <c r="K68" s="21" t="n"/>
      <c r="L68" s="21" t="n"/>
      <c r="M68" s="21" t="n"/>
      <c r="N68" s="21" t="n"/>
      <c r="O68" s="19">
        <f>IF(COUNTA(H68,J68:L68)=0,"",IF(COUNTA(H68,J68:L68)&lt;4,"Incomplete: fill all four labels",IF(AND(K68="Yes",J68="P3"),"Error: safety Yes can't be P3",IF(AND(K68="Yes",L68="Explain to customer (no repair needed)"),"Error: safety Yes needs a repair, not explain",IF(AND(I68&lt;&gt;"",I68=H68),"Error: alt_category is the same as category",IF(AND(J68="P1",K68="No"),"Check: P1 with safety No is only OK if the customer is stranded",IF(AND(L68="Stop driving + roadside assistance",K68="No"),"Check: roadside with safety No is only OK if stuck somewhere unsafe",IF(AND(H68="Other / Unclear",L68&lt;&gt;"Contact customer for more information"),"Check: unclear tickets usually need contact customer",IF(AND(L68="Explain to customer (no repair needed)",J68&lt;&gt;"P3"),"Check: no repair needed is usually P3","OK")))))))))</f>
        <v/>
      </c>
    </row>
    <row r="69" ht="15" customHeight="1" s="13">
      <c r="A69" s="19" t="n"/>
      <c r="B69" s="19" t="n"/>
      <c r="C69" s="19" t="n"/>
      <c r="D69" s="19" t="n"/>
      <c r="E69" s="19" t="n"/>
      <c r="F69" s="19" t="n"/>
      <c r="G69" s="19" t="n"/>
      <c r="H69" s="21" t="n"/>
      <c r="I69" s="21" t="n"/>
      <c r="J69" s="21" t="n"/>
      <c r="K69" s="21" t="n"/>
      <c r="L69" s="21" t="n"/>
      <c r="M69" s="21" t="n"/>
      <c r="N69" s="21" t="n"/>
      <c r="O69" s="19">
        <f>IF(COUNTA(H69,J69:L69)=0,"",IF(COUNTA(H69,J69:L69)&lt;4,"Incomplete: fill all four labels",IF(AND(K69="Yes",J69="P3"),"Error: safety Yes can't be P3",IF(AND(K69="Yes",L69="Explain to customer (no repair needed)"),"Error: safety Yes needs a repair, not explain",IF(AND(I69&lt;&gt;"",I69=H69),"Error: alt_category is the same as category",IF(AND(J69="P1",K69="No"),"Check: P1 with safety No is only OK if the customer is stranded",IF(AND(L69="Stop driving + roadside assistance",K69="No"),"Check: roadside with safety No is only OK if stuck somewhere unsafe",IF(AND(H69="Other / Unclear",L69&lt;&gt;"Contact customer for more information"),"Check: unclear tickets usually need contact customer",IF(AND(L69="Explain to customer (no repair needed)",J69&lt;&gt;"P3"),"Check: no repair needed is usually P3","OK")))))))))</f>
        <v/>
      </c>
    </row>
    <row r="70" ht="15" customHeight="1" s="13">
      <c r="A70" s="19" t="n"/>
      <c r="B70" s="19" t="n"/>
      <c r="C70" s="19" t="n"/>
      <c r="D70" s="19" t="n"/>
      <c r="E70" s="19" t="n"/>
      <c r="F70" s="19" t="n"/>
      <c r="G70" s="19" t="n"/>
      <c r="H70" s="21" t="n"/>
      <c r="I70" s="21" t="n"/>
      <c r="J70" s="21" t="n"/>
      <c r="K70" s="21" t="n"/>
      <c r="L70" s="21" t="n"/>
      <c r="M70" s="21" t="n"/>
      <c r="N70" s="21" t="n"/>
      <c r="O70" s="19">
        <f>IF(COUNTA(H70,J70:L70)=0,"",IF(COUNTA(H70,J70:L70)&lt;4,"Incomplete: fill all four labels",IF(AND(K70="Yes",J70="P3"),"Error: safety Yes can't be P3",IF(AND(K70="Yes",L70="Explain to customer (no repair needed)"),"Error: safety Yes needs a repair, not explain",IF(AND(I70&lt;&gt;"",I70=H70),"Error: alt_category is the same as category",IF(AND(J70="P1",K70="No"),"Check: P1 with safety No is only OK if the customer is stranded",IF(AND(L70="Stop driving + roadside assistance",K70="No"),"Check: roadside with safety No is only OK if stuck somewhere unsafe",IF(AND(H70="Other / Unclear",L70&lt;&gt;"Contact customer for more information"),"Check: unclear tickets usually need contact customer",IF(AND(L70="Explain to customer (no repair needed)",J70&lt;&gt;"P3"),"Check: no repair needed is usually P3","OK")))))))))</f>
        <v/>
      </c>
    </row>
    <row r="71" ht="15" customHeight="1" s="13">
      <c r="A71" s="19" t="n"/>
      <c r="B71" s="19" t="n"/>
      <c r="C71" s="19" t="n"/>
      <c r="D71" s="19" t="n"/>
      <c r="E71" s="19" t="n"/>
      <c r="F71" s="19" t="n"/>
      <c r="G71" s="19" t="n"/>
      <c r="H71" s="21" t="n"/>
      <c r="I71" s="21" t="n"/>
      <c r="J71" s="21" t="n"/>
      <c r="K71" s="21" t="n"/>
      <c r="L71" s="21" t="n"/>
      <c r="M71" s="21" t="n"/>
      <c r="N71" s="21" t="n"/>
      <c r="O71" s="19">
        <f>IF(COUNTA(H71,J71:L71)=0,"",IF(COUNTA(H71,J71:L71)&lt;4,"Incomplete: fill all four labels",IF(AND(K71="Yes",J71="P3"),"Error: safety Yes can't be P3",IF(AND(K71="Yes",L71="Explain to customer (no repair needed)"),"Error: safety Yes needs a repair, not explain",IF(AND(I71&lt;&gt;"",I71=H71),"Error: alt_category is the same as category",IF(AND(J71="P1",K71="No"),"Check: P1 with safety No is only OK if the customer is stranded",IF(AND(L71="Stop driving + roadside assistance",K71="No"),"Check: roadside with safety No is only OK if stuck somewhere unsafe",IF(AND(H71="Other / Unclear",L71&lt;&gt;"Contact customer for more information"),"Check: unclear tickets usually need contact customer",IF(AND(L71="Explain to customer (no repair needed)",J71&lt;&gt;"P3"),"Check: no repair needed is usually P3","OK")))))))))</f>
        <v/>
      </c>
    </row>
    <row r="72" ht="15" customHeight="1" s="13">
      <c r="A72" s="19" t="n"/>
      <c r="B72" s="19" t="n"/>
      <c r="C72" s="19" t="n"/>
      <c r="D72" s="19" t="n"/>
      <c r="E72" s="19" t="n"/>
      <c r="F72" s="19" t="n"/>
      <c r="G72" s="19" t="n"/>
      <c r="H72" s="21" t="n"/>
      <c r="I72" s="21" t="n"/>
      <c r="J72" s="21" t="n"/>
      <c r="K72" s="21" t="n"/>
      <c r="L72" s="21" t="n"/>
      <c r="M72" s="21" t="n"/>
      <c r="N72" s="21" t="n"/>
      <c r="O72" s="19">
        <f>IF(COUNTA(H72,J72:L72)=0,"",IF(COUNTA(H72,J72:L72)&lt;4,"Incomplete: fill all four labels",IF(AND(K72="Yes",J72="P3"),"Error: safety Yes can't be P3",IF(AND(K72="Yes",L72="Explain to customer (no repair needed)"),"Error: safety Yes needs a repair, not explain",IF(AND(I72&lt;&gt;"",I72=H72),"Error: alt_category is the same as category",IF(AND(J72="P1",K72="No"),"Check: P1 with safety No is only OK if the customer is stranded",IF(AND(L72="Stop driving + roadside assistance",K72="No"),"Check: roadside with safety No is only OK if stuck somewhere unsafe",IF(AND(H72="Other / Unclear",L72&lt;&gt;"Contact customer for more information"),"Check: unclear tickets usually need contact customer",IF(AND(L72="Explain to customer (no repair needed)",J72&lt;&gt;"P3"),"Check: no repair needed is usually P3","OK")))))))))</f>
        <v/>
      </c>
    </row>
    <row r="73" ht="15" customHeight="1" s="13">
      <c r="A73" s="19" t="n"/>
      <c r="B73" s="19" t="n"/>
      <c r="C73" s="19" t="n"/>
      <c r="D73" s="19" t="n"/>
      <c r="E73" s="19" t="n"/>
      <c r="F73" s="19" t="n"/>
      <c r="G73" s="19" t="n"/>
      <c r="H73" s="21" t="n"/>
      <c r="I73" s="21" t="n"/>
      <c r="J73" s="21" t="n"/>
      <c r="K73" s="21" t="n"/>
      <c r="L73" s="21" t="n"/>
      <c r="M73" s="21" t="n"/>
      <c r="N73" s="21" t="n"/>
      <c r="O73" s="19">
        <f>IF(COUNTA(H73,J73:L73)=0,"",IF(COUNTA(H73,J73:L73)&lt;4,"Incomplete: fill all four labels",IF(AND(K73="Yes",J73="P3"),"Error: safety Yes can't be P3",IF(AND(K73="Yes",L73="Explain to customer (no repair needed)"),"Error: safety Yes needs a repair, not explain",IF(AND(I73&lt;&gt;"",I73=H73),"Error: alt_category is the same as category",IF(AND(J73="P1",K73="No"),"Check: P1 with safety No is only OK if the customer is stranded",IF(AND(L73="Stop driving + roadside assistance",K73="No"),"Check: roadside with safety No is only OK if stuck somewhere unsafe",IF(AND(H73="Other / Unclear",L73&lt;&gt;"Contact customer for more information"),"Check: unclear tickets usually need contact customer",IF(AND(L73="Explain to customer (no repair needed)",J73&lt;&gt;"P3"),"Check: no repair needed is usually P3","OK")))))))))</f>
        <v/>
      </c>
    </row>
    <row r="74" ht="15" customHeight="1" s="13">
      <c r="A74" s="19" t="n"/>
      <c r="B74" s="19" t="n"/>
      <c r="C74" s="19" t="n"/>
      <c r="D74" s="19" t="n"/>
      <c r="E74" s="19" t="n"/>
      <c r="F74" s="19" t="n"/>
      <c r="G74" s="19" t="n"/>
      <c r="H74" s="21" t="n"/>
      <c r="I74" s="21" t="n"/>
      <c r="J74" s="21" t="n"/>
      <c r="K74" s="21" t="n"/>
      <c r="L74" s="21" t="n"/>
      <c r="M74" s="21" t="n"/>
      <c r="N74" s="21" t="n"/>
      <c r="O74" s="19">
        <f>IF(COUNTA(H74,J74:L74)=0,"",IF(COUNTA(H74,J74:L74)&lt;4,"Incomplete: fill all four labels",IF(AND(K74="Yes",J74="P3"),"Error: safety Yes can't be P3",IF(AND(K74="Yes",L74="Explain to customer (no repair needed)"),"Error: safety Yes needs a repair, not explain",IF(AND(I74&lt;&gt;"",I74=H74),"Error: alt_category is the same as category",IF(AND(J74="P1",K74="No"),"Check: P1 with safety No is only OK if the customer is stranded",IF(AND(L74="Stop driving + roadside assistance",K74="No"),"Check: roadside with safety No is only OK if stuck somewhere unsafe",IF(AND(H74="Other / Unclear",L74&lt;&gt;"Contact customer for more information"),"Check: unclear tickets usually need contact customer",IF(AND(L74="Explain to customer (no repair needed)",J74&lt;&gt;"P3"),"Check: no repair needed is usually P3","OK")))))))))</f>
        <v/>
      </c>
    </row>
    <row r="75" ht="15" customHeight="1" s="13">
      <c r="A75" s="19" t="n"/>
      <c r="B75" s="19" t="n"/>
      <c r="C75" s="19" t="n"/>
      <c r="D75" s="19" t="n"/>
      <c r="E75" s="19" t="n"/>
      <c r="F75" s="19" t="n"/>
      <c r="G75" s="19" t="n"/>
      <c r="H75" s="21" t="n"/>
      <c r="I75" s="21" t="n"/>
      <c r="J75" s="21" t="n"/>
      <c r="K75" s="21" t="n"/>
      <c r="L75" s="21" t="n"/>
      <c r="M75" s="21" t="n"/>
      <c r="N75" s="21" t="n"/>
      <c r="O75" s="19">
        <f>IF(COUNTA(H75,J75:L75)=0,"",IF(COUNTA(H75,J75:L75)&lt;4,"Incomplete: fill all four labels",IF(AND(K75="Yes",J75="P3"),"Error: safety Yes can't be P3",IF(AND(K75="Yes",L75="Explain to customer (no repair needed)"),"Error: safety Yes needs a repair, not explain",IF(AND(I75&lt;&gt;"",I75=H75),"Error: alt_category is the same as category",IF(AND(J75="P1",K75="No"),"Check: P1 with safety No is only OK if the customer is stranded",IF(AND(L75="Stop driving + roadside assistance",K75="No"),"Check: roadside with safety No is only OK if stuck somewhere unsafe",IF(AND(H75="Other / Unclear",L75&lt;&gt;"Contact customer for more information"),"Check: unclear tickets usually need contact customer",IF(AND(L75="Explain to customer (no repair needed)",J75&lt;&gt;"P3"),"Check: no repair needed is usually P3","OK")))))))))</f>
        <v/>
      </c>
    </row>
    <row r="76" ht="15" customHeight="1" s="13">
      <c r="A76" s="19" t="n"/>
      <c r="B76" s="19" t="n"/>
      <c r="C76" s="19" t="n"/>
      <c r="D76" s="19" t="n"/>
      <c r="E76" s="19" t="n"/>
      <c r="F76" s="19" t="n"/>
      <c r="G76" s="19" t="n"/>
      <c r="H76" s="21" t="n"/>
      <c r="I76" s="21" t="n"/>
      <c r="J76" s="21" t="n"/>
      <c r="K76" s="21" t="n"/>
      <c r="L76" s="21" t="n"/>
      <c r="M76" s="21" t="n"/>
      <c r="N76" s="21" t="n"/>
      <c r="O76" s="19">
        <f>IF(COUNTA(H76,J76:L76)=0,"",IF(COUNTA(H76,J76:L76)&lt;4,"Incomplete: fill all four labels",IF(AND(K76="Yes",J76="P3"),"Error: safety Yes can't be P3",IF(AND(K76="Yes",L76="Explain to customer (no repair needed)"),"Error: safety Yes needs a repair, not explain",IF(AND(I76&lt;&gt;"",I76=H76),"Error: alt_category is the same as category",IF(AND(J76="P1",K76="No"),"Check: P1 with safety No is only OK if the customer is stranded",IF(AND(L76="Stop driving + roadside assistance",K76="No"),"Check: roadside with safety No is only OK if stuck somewhere unsafe",IF(AND(H76="Other / Unclear",L76&lt;&gt;"Contact customer for more information"),"Check: unclear tickets usually need contact customer",IF(AND(L76="Explain to customer (no repair needed)",J76&lt;&gt;"P3"),"Check: no repair needed is usually P3","OK")))))))))</f>
        <v/>
      </c>
    </row>
    <row r="77" ht="15" customHeight="1" s="13">
      <c r="A77" s="19" t="n"/>
      <c r="B77" s="19" t="n"/>
      <c r="C77" s="19" t="n"/>
      <c r="D77" s="19" t="n"/>
      <c r="E77" s="19" t="n"/>
      <c r="F77" s="19" t="n"/>
      <c r="G77" s="19" t="n"/>
      <c r="H77" s="21" t="n"/>
      <c r="I77" s="21" t="n"/>
      <c r="J77" s="21" t="n"/>
      <c r="K77" s="21" t="n"/>
      <c r="L77" s="21" t="n"/>
      <c r="M77" s="21" t="n"/>
      <c r="N77" s="21" t="n"/>
      <c r="O77" s="19">
        <f>IF(COUNTA(H77,J77:L77)=0,"",IF(COUNTA(H77,J77:L77)&lt;4,"Incomplete: fill all four labels",IF(AND(K77="Yes",J77="P3"),"Error: safety Yes can't be P3",IF(AND(K77="Yes",L77="Explain to customer (no repair needed)"),"Error: safety Yes needs a repair, not explain",IF(AND(I77&lt;&gt;"",I77=H77),"Error: alt_category is the same as category",IF(AND(J77="P1",K77="No"),"Check: P1 with safety No is only OK if the customer is stranded",IF(AND(L77="Stop driving + roadside assistance",K77="No"),"Check: roadside with safety No is only OK if stuck somewhere unsafe",IF(AND(H77="Other / Unclear",L77&lt;&gt;"Contact customer for more information"),"Check: unclear tickets usually need contact customer",IF(AND(L77="Explain to customer (no repair needed)",J77&lt;&gt;"P3"),"Check: no repair needed is usually P3","OK")))))))))</f>
        <v/>
      </c>
    </row>
    <row r="78" ht="15" customHeight="1" s="13">
      <c r="A78" s="19" t="n"/>
      <c r="B78" s="19" t="n"/>
      <c r="C78" s="19" t="n"/>
      <c r="D78" s="19" t="n"/>
      <c r="E78" s="19" t="n"/>
      <c r="F78" s="19" t="n"/>
      <c r="G78" s="19" t="n"/>
      <c r="H78" s="21" t="n"/>
      <c r="I78" s="21" t="n"/>
      <c r="J78" s="21" t="n"/>
      <c r="K78" s="21" t="n"/>
      <c r="L78" s="21" t="n"/>
      <c r="M78" s="21" t="n"/>
      <c r="N78" s="21" t="n"/>
      <c r="O78" s="19">
        <f>IF(COUNTA(H78,J78:L78)=0,"",IF(COUNTA(H78,J78:L78)&lt;4,"Incomplete: fill all four labels",IF(AND(K78="Yes",J78="P3"),"Error: safety Yes can't be P3",IF(AND(K78="Yes",L78="Explain to customer (no repair needed)"),"Error: safety Yes needs a repair, not explain",IF(AND(I78&lt;&gt;"",I78=H78),"Error: alt_category is the same as category",IF(AND(J78="P1",K78="No"),"Check: P1 with safety No is only OK if the customer is stranded",IF(AND(L78="Stop driving + roadside assistance",K78="No"),"Check: roadside with safety No is only OK if stuck somewhere unsafe",IF(AND(H78="Other / Unclear",L78&lt;&gt;"Contact customer for more information"),"Check: unclear tickets usually need contact customer",IF(AND(L78="Explain to customer (no repair needed)",J78&lt;&gt;"P3"),"Check: no repair needed is usually P3","OK")))))))))</f>
        <v/>
      </c>
    </row>
    <row r="79" ht="15" customHeight="1" s="13">
      <c r="A79" s="19" t="n"/>
      <c r="B79" s="19" t="n"/>
      <c r="C79" s="19" t="n"/>
      <c r="D79" s="19" t="n"/>
      <c r="E79" s="19" t="n"/>
      <c r="F79" s="19" t="n"/>
      <c r="G79" s="19" t="n"/>
      <c r="H79" s="21" t="n"/>
      <c r="I79" s="21" t="n"/>
      <c r="J79" s="21" t="n"/>
      <c r="K79" s="21" t="n"/>
      <c r="L79" s="21" t="n"/>
      <c r="M79" s="21" t="n"/>
      <c r="N79" s="21" t="n"/>
      <c r="O79" s="19">
        <f>IF(COUNTA(H79,J79:L79)=0,"",IF(COUNTA(H79,J79:L79)&lt;4,"Incomplete: fill all four labels",IF(AND(K79="Yes",J79="P3"),"Error: safety Yes can't be P3",IF(AND(K79="Yes",L79="Explain to customer (no repair needed)"),"Error: safety Yes needs a repair, not explain",IF(AND(I79&lt;&gt;"",I79=H79),"Error: alt_category is the same as category",IF(AND(J79="P1",K79="No"),"Check: P1 with safety No is only OK if the customer is stranded",IF(AND(L79="Stop driving + roadside assistance",K79="No"),"Check: roadside with safety No is only OK if stuck somewhere unsafe",IF(AND(H79="Other / Unclear",L79&lt;&gt;"Contact customer for more information"),"Check: unclear tickets usually need contact customer",IF(AND(L79="Explain to customer (no repair needed)",J79&lt;&gt;"P3"),"Check: no repair needed is usually P3","OK")))))))))</f>
        <v/>
      </c>
    </row>
    <row r="80" ht="15" customHeight="1" s="13">
      <c r="A80" s="19" t="n"/>
      <c r="B80" s="19" t="n"/>
      <c r="C80" s="19" t="n"/>
      <c r="D80" s="19" t="n"/>
      <c r="E80" s="19" t="n"/>
      <c r="F80" s="19" t="n"/>
      <c r="G80" s="19" t="n"/>
      <c r="H80" s="21" t="n"/>
      <c r="I80" s="21" t="n"/>
      <c r="J80" s="21" t="n"/>
      <c r="K80" s="21" t="n"/>
      <c r="L80" s="21" t="n"/>
      <c r="M80" s="21" t="n"/>
      <c r="N80" s="21" t="n"/>
      <c r="O80" s="19">
        <f>IF(COUNTA(H80,J80:L80)=0,"",IF(COUNTA(H80,J80:L80)&lt;4,"Incomplete: fill all four labels",IF(AND(K80="Yes",J80="P3"),"Error: safety Yes can't be P3",IF(AND(K80="Yes",L80="Explain to customer (no repair needed)"),"Error: safety Yes needs a repair, not explain",IF(AND(I80&lt;&gt;"",I80=H80),"Error: alt_category is the same as category",IF(AND(J80="P1",K80="No"),"Check: P1 with safety No is only OK if the customer is stranded",IF(AND(L80="Stop driving + roadside assistance",K80="No"),"Check: roadside with safety No is only OK if stuck somewhere unsafe",IF(AND(H80="Other / Unclear",L80&lt;&gt;"Contact customer for more information"),"Check: unclear tickets usually need contact customer",IF(AND(L80="Explain to customer (no repair needed)",J80&lt;&gt;"P3"),"Check: no repair needed is usually P3","OK")))))))))</f>
        <v/>
      </c>
    </row>
    <row r="81" ht="15" customHeight="1" s="13">
      <c r="A81" s="19" t="n"/>
      <c r="B81" s="19" t="n"/>
      <c r="C81" s="19" t="n"/>
      <c r="D81" s="19" t="n"/>
      <c r="E81" s="19" t="n"/>
      <c r="F81" s="19" t="n"/>
      <c r="G81" s="19" t="n"/>
      <c r="H81" s="21" t="n"/>
      <c r="I81" s="21" t="n"/>
      <c r="J81" s="21" t="n"/>
      <c r="K81" s="21" t="n"/>
      <c r="L81" s="21" t="n"/>
      <c r="M81" s="21" t="n"/>
      <c r="N81" s="21" t="n"/>
      <c r="O81" s="19">
        <f>IF(COUNTA(H81,J81:L81)=0,"",IF(COUNTA(H81,J81:L81)&lt;4,"Incomplete: fill all four labels",IF(AND(K81="Yes",J81="P3"),"Error: safety Yes can't be P3",IF(AND(K81="Yes",L81="Explain to customer (no repair needed)"),"Error: safety Yes needs a repair, not explain",IF(AND(I81&lt;&gt;"",I81=H81),"Error: alt_category is the same as category",IF(AND(J81="P1",K81="No"),"Check: P1 with safety No is only OK if the customer is stranded",IF(AND(L81="Stop driving + roadside assistance",K81="No"),"Check: roadside with safety No is only OK if stuck somewhere unsafe",IF(AND(H81="Other / Unclear",L81&lt;&gt;"Contact customer for more information"),"Check: unclear tickets usually need contact customer",IF(AND(L81="Explain to customer (no repair needed)",J81&lt;&gt;"P3"),"Check: no repair needed is usually P3","OK")))))))))</f>
        <v/>
      </c>
    </row>
    <row r="82" ht="15" customHeight="1" s="13">
      <c r="A82" s="19" t="n"/>
      <c r="B82" s="19" t="n"/>
      <c r="C82" s="19" t="n"/>
      <c r="D82" s="19" t="n"/>
      <c r="E82" s="19" t="n"/>
      <c r="F82" s="19" t="n"/>
      <c r="G82" s="19" t="n"/>
      <c r="H82" s="21" t="n"/>
      <c r="I82" s="21" t="n"/>
      <c r="J82" s="21" t="n"/>
      <c r="K82" s="21" t="n"/>
      <c r="L82" s="21" t="n"/>
      <c r="M82" s="21" t="n"/>
      <c r="N82" s="21" t="n"/>
      <c r="O82" s="19">
        <f>IF(COUNTA(H82,J82:L82)=0,"",IF(COUNTA(H82,J82:L82)&lt;4,"Incomplete: fill all four labels",IF(AND(K82="Yes",J82="P3"),"Error: safety Yes can't be P3",IF(AND(K82="Yes",L82="Explain to customer (no repair needed)"),"Error: safety Yes needs a repair, not explain",IF(AND(I82&lt;&gt;"",I82=H82),"Error: alt_category is the same as category",IF(AND(J82="P1",K82="No"),"Check: P1 with safety No is only OK if the customer is stranded",IF(AND(L82="Stop driving + roadside assistance",K82="No"),"Check: roadside with safety No is only OK if stuck somewhere unsafe",IF(AND(H82="Other / Unclear",L82&lt;&gt;"Contact customer for more information"),"Check: unclear tickets usually need contact customer",IF(AND(L82="Explain to customer (no repair needed)",J82&lt;&gt;"P3"),"Check: no repair needed is usually P3","OK")))))))))</f>
        <v/>
      </c>
    </row>
    <row r="83" ht="15" customHeight="1" s="13">
      <c r="A83" s="19" t="n"/>
      <c r="B83" s="19" t="n"/>
      <c r="C83" s="19" t="n"/>
      <c r="D83" s="19" t="n"/>
      <c r="E83" s="19" t="n"/>
      <c r="F83" s="19" t="n"/>
      <c r="G83" s="19" t="n"/>
      <c r="H83" s="21" t="n"/>
      <c r="I83" s="21" t="n"/>
      <c r="J83" s="21" t="n"/>
      <c r="K83" s="21" t="n"/>
      <c r="L83" s="21" t="n"/>
      <c r="M83" s="21" t="n"/>
      <c r="N83" s="21" t="n"/>
      <c r="O83" s="19">
        <f>IF(COUNTA(H83,J83:L83)=0,"",IF(COUNTA(H83,J83:L83)&lt;4,"Incomplete: fill all four labels",IF(AND(K83="Yes",J83="P3"),"Error: safety Yes can't be P3",IF(AND(K83="Yes",L83="Explain to customer (no repair needed)"),"Error: safety Yes needs a repair, not explain",IF(AND(I83&lt;&gt;"",I83=H83),"Error: alt_category is the same as category",IF(AND(J83="P1",K83="No"),"Check: P1 with safety No is only OK if the customer is stranded",IF(AND(L83="Stop driving + roadside assistance",K83="No"),"Check: roadside with safety No is only OK if stuck somewhere unsafe",IF(AND(H83="Other / Unclear",L83&lt;&gt;"Contact customer for more information"),"Check: unclear tickets usually need contact customer",IF(AND(L83="Explain to customer (no repair needed)",J83&lt;&gt;"P3"),"Check: no repair needed is usually P3","OK")))))))))</f>
        <v/>
      </c>
    </row>
    <row r="84" ht="15" customHeight="1" s="13">
      <c r="A84" s="19" t="n"/>
      <c r="B84" s="19" t="n"/>
      <c r="C84" s="19" t="n"/>
      <c r="D84" s="19" t="n"/>
      <c r="E84" s="19" t="n"/>
      <c r="F84" s="19" t="n"/>
      <c r="G84" s="19" t="n"/>
      <c r="H84" s="21" t="n"/>
      <c r="I84" s="21" t="n"/>
      <c r="J84" s="21" t="n"/>
      <c r="K84" s="21" t="n"/>
      <c r="L84" s="21" t="n"/>
      <c r="M84" s="21" t="n"/>
      <c r="N84" s="21" t="n"/>
      <c r="O84" s="19">
        <f>IF(COUNTA(H84,J84:L84)=0,"",IF(COUNTA(H84,J84:L84)&lt;4,"Incomplete: fill all four labels",IF(AND(K84="Yes",J84="P3"),"Error: safety Yes can't be P3",IF(AND(K84="Yes",L84="Explain to customer (no repair needed)"),"Error: safety Yes needs a repair, not explain",IF(AND(I84&lt;&gt;"",I84=H84),"Error: alt_category is the same as category",IF(AND(J84="P1",K84="No"),"Check: P1 with safety No is only OK if the customer is stranded",IF(AND(L84="Stop driving + roadside assistance",K84="No"),"Check: roadside with safety No is only OK if stuck somewhere unsafe",IF(AND(H84="Other / Unclear",L84&lt;&gt;"Contact customer for more information"),"Check: unclear tickets usually need contact customer",IF(AND(L84="Explain to customer (no repair needed)",J84&lt;&gt;"P3"),"Check: no repair needed is usually P3","OK")))))))))</f>
        <v/>
      </c>
    </row>
    <row r="85" ht="15" customHeight="1" s="13">
      <c r="A85" s="19" t="n"/>
      <c r="B85" s="19" t="n"/>
      <c r="C85" s="19" t="n"/>
      <c r="D85" s="19" t="n"/>
      <c r="E85" s="19" t="n"/>
      <c r="F85" s="19" t="n"/>
      <c r="G85" s="19" t="n"/>
      <c r="H85" s="21" t="n"/>
      <c r="I85" s="21" t="n"/>
      <c r="J85" s="21" t="n"/>
      <c r="K85" s="21" t="n"/>
      <c r="L85" s="21" t="n"/>
      <c r="M85" s="21" t="n"/>
      <c r="N85" s="21" t="n"/>
      <c r="O85" s="19">
        <f>IF(COUNTA(H85,J85:L85)=0,"",IF(COUNTA(H85,J85:L85)&lt;4,"Incomplete: fill all four labels",IF(AND(K85="Yes",J85="P3"),"Error: safety Yes can't be P3",IF(AND(K85="Yes",L85="Explain to customer (no repair needed)"),"Error: safety Yes needs a repair, not explain",IF(AND(I85&lt;&gt;"",I85=H85),"Error: alt_category is the same as category",IF(AND(J85="P1",K85="No"),"Check: P1 with safety No is only OK if the customer is stranded",IF(AND(L85="Stop driving + roadside assistance",K85="No"),"Check: roadside with safety No is only OK if stuck somewhere unsafe",IF(AND(H85="Other / Unclear",L85&lt;&gt;"Contact customer for more information"),"Check: unclear tickets usually need contact customer",IF(AND(L85="Explain to customer (no repair needed)",J85&lt;&gt;"P3"),"Check: no repair needed is usually P3","OK")))))))))</f>
        <v/>
      </c>
    </row>
    <row r="86" ht="15" customHeight="1" s="13">
      <c r="A86" s="19" t="n"/>
      <c r="B86" s="19" t="n"/>
      <c r="C86" s="19" t="n"/>
      <c r="D86" s="19" t="n"/>
      <c r="E86" s="19" t="n"/>
      <c r="F86" s="19" t="n"/>
      <c r="G86" s="19" t="n"/>
      <c r="H86" s="21" t="n"/>
      <c r="I86" s="21" t="n"/>
      <c r="J86" s="21" t="n"/>
      <c r="K86" s="21" t="n"/>
      <c r="L86" s="21" t="n"/>
      <c r="M86" s="21" t="n"/>
      <c r="N86" s="21" t="n"/>
      <c r="O86" s="19">
        <f>IF(COUNTA(H86,J86:L86)=0,"",IF(COUNTA(H86,J86:L86)&lt;4,"Incomplete: fill all four labels",IF(AND(K86="Yes",J86="P3"),"Error: safety Yes can't be P3",IF(AND(K86="Yes",L86="Explain to customer (no repair needed)"),"Error: safety Yes needs a repair, not explain",IF(AND(I86&lt;&gt;"",I86=H86),"Error: alt_category is the same as category",IF(AND(J86="P1",K86="No"),"Check: P1 with safety No is only OK if the customer is stranded",IF(AND(L86="Stop driving + roadside assistance",K86="No"),"Check: roadside with safety No is only OK if stuck somewhere unsafe",IF(AND(H86="Other / Unclear",L86&lt;&gt;"Contact customer for more information"),"Check: unclear tickets usually need contact customer",IF(AND(L86="Explain to customer (no repair needed)",J86&lt;&gt;"P3"),"Check: no repair needed is usually P3","OK")))))))))</f>
        <v/>
      </c>
    </row>
    <row r="87" ht="15" customHeight="1" s="13">
      <c r="A87" s="19" t="n"/>
      <c r="B87" s="19" t="n"/>
      <c r="C87" s="19" t="n"/>
      <c r="D87" s="19" t="n"/>
      <c r="E87" s="19" t="n"/>
      <c r="F87" s="19" t="n"/>
      <c r="G87" s="19" t="n"/>
      <c r="H87" s="21" t="n"/>
      <c r="I87" s="21" t="n"/>
      <c r="J87" s="21" t="n"/>
      <c r="K87" s="21" t="n"/>
      <c r="L87" s="21" t="n"/>
      <c r="M87" s="21" t="n"/>
      <c r="N87" s="21" t="n"/>
      <c r="O87" s="19">
        <f>IF(COUNTA(H87,J87:L87)=0,"",IF(COUNTA(H87,J87:L87)&lt;4,"Incomplete: fill all four labels",IF(AND(K87="Yes",J87="P3"),"Error: safety Yes can't be P3",IF(AND(K87="Yes",L87="Explain to customer (no repair needed)"),"Error: safety Yes needs a repair, not explain",IF(AND(I87&lt;&gt;"",I87=H87),"Error: alt_category is the same as category",IF(AND(J87="P1",K87="No"),"Check: P1 with safety No is only OK if the customer is stranded",IF(AND(L87="Stop driving + roadside assistance",K87="No"),"Check: roadside with safety No is only OK if stuck somewhere unsafe",IF(AND(H87="Other / Unclear",L87&lt;&gt;"Contact customer for more information"),"Check: unclear tickets usually need contact customer",IF(AND(L87="Explain to customer (no repair needed)",J87&lt;&gt;"P3"),"Check: no repair needed is usually P3","OK")))))))))</f>
        <v/>
      </c>
    </row>
    <row r="88" ht="15" customHeight="1" s="13">
      <c r="A88" s="19" t="n"/>
      <c r="B88" s="19" t="n"/>
      <c r="C88" s="19" t="n"/>
      <c r="D88" s="19" t="n"/>
      <c r="E88" s="19" t="n"/>
      <c r="F88" s="19" t="n"/>
      <c r="G88" s="19" t="n"/>
      <c r="H88" s="21" t="n"/>
      <c r="I88" s="21" t="n"/>
      <c r="J88" s="21" t="n"/>
      <c r="K88" s="21" t="n"/>
      <c r="L88" s="21" t="n"/>
      <c r="M88" s="21" t="n"/>
      <c r="N88" s="21" t="n"/>
      <c r="O88" s="19">
        <f>IF(COUNTA(H88,J88:L88)=0,"",IF(COUNTA(H88,J88:L88)&lt;4,"Incomplete: fill all four labels",IF(AND(K88="Yes",J88="P3"),"Error: safety Yes can't be P3",IF(AND(K88="Yes",L88="Explain to customer (no repair needed)"),"Error: safety Yes needs a repair, not explain",IF(AND(I88&lt;&gt;"",I88=H88),"Error: alt_category is the same as category",IF(AND(J88="P1",K88="No"),"Check: P1 with safety No is only OK if the customer is stranded",IF(AND(L88="Stop driving + roadside assistance",K88="No"),"Check: roadside with safety No is only OK if stuck somewhere unsafe",IF(AND(H88="Other / Unclear",L88&lt;&gt;"Contact customer for more information"),"Check: unclear tickets usually need contact customer",IF(AND(L88="Explain to customer (no repair needed)",J88&lt;&gt;"P3"),"Check: no repair needed is usually P3","OK")))))))))</f>
        <v/>
      </c>
    </row>
    <row r="89" ht="15" customHeight="1" s="13">
      <c r="A89" s="19" t="n"/>
      <c r="B89" s="19" t="n"/>
      <c r="C89" s="19" t="n"/>
      <c r="D89" s="19" t="n"/>
      <c r="E89" s="19" t="n"/>
      <c r="F89" s="19" t="n"/>
      <c r="G89" s="19" t="n"/>
      <c r="H89" s="21" t="n"/>
      <c r="I89" s="21" t="n"/>
      <c r="J89" s="21" t="n"/>
      <c r="K89" s="21" t="n"/>
      <c r="L89" s="21" t="n"/>
      <c r="M89" s="21" t="n"/>
      <c r="N89" s="21" t="n"/>
      <c r="O89" s="19">
        <f>IF(COUNTA(H89,J89:L89)=0,"",IF(COUNTA(H89,J89:L89)&lt;4,"Incomplete: fill all four labels",IF(AND(K89="Yes",J89="P3"),"Error: safety Yes can't be P3",IF(AND(K89="Yes",L89="Explain to customer (no repair needed)"),"Error: safety Yes needs a repair, not explain",IF(AND(I89&lt;&gt;"",I89=H89),"Error: alt_category is the same as category",IF(AND(J89="P1",K89="No"),"Check: P1 with safety No is only OK if the customer is stranded",IF(AND(L89="Stop driving + roadside assistance",K89="No"),"Check: roadside with safety No is only OK if stuck somewhere unsafe",IF(AND(H89="Other / Unclear",L89&lt;&gt;"Contact customer for more information"),"Check: unclear tickets usually need contact customer",IF(AND(L89="Explain to customer (no repair needed)",J89&lt;&gt;"P3"),"Check: no repair needed is usually P3","OK")))))))))</f>
        <v/>
      </c>
    </row>
    <row r="90" ht="15" customHeight="1" s="13">
      <c r="A90" s="19" t="n"/>
      <c r="B90" s="19" t="n"/>
      <c r="C90" s="19" t="n"/>
      <c r="D90" s="19" t="n"/>
      <c r="E90" s="19" t="n"/>
      <c r="F90" s="19" t="n"/>
      <c r="G90" s="19" t="n"/>
      <c r="H90" s="21" t="n"/>
      <c r="I90" s="21" t="n"/>
      <c r="J90" s="21" t="n"/>
      <c r="K90" s="21" t="n"/>
      <c r="L90" s="21" t="n"/>
      <c r="M90" s="21" t="n"/>
      <c r="N90" s="21" t="n"/>
      <c r="O90" s="19">
        <f>IF(COUNTA(H90,J90:L90)=0,"",IF(COUNTA(H90,J90:L90)&lt;4,"Incomplete: fill all four labels",IF(AND(K90="Yes",J90="P3"),"Error: safety Yes can't be P3",IF(AND(K90="Yes",L90="Explain to customer (no repair needed)"),"Error: safety Yes needs a repair, not explain",IF(AND(I90&lt;&gt;"",I90=H90),"Error: alt_category is the same as category",IF(AND(J90="P1",K90="No"),"Check: P1 with safety No is only OK if the customer is stranded",IF(AND(L90="Stop driving + roadside assistance",K90="No"),"Check: roadside with safety No is only OK if stuck somewhere unsafe",IF(AND(H90="Other / Unclear",L90&lt;&gt;"Contact customer for more information"),"Check: unclear tickets usually need contact customer",IF(AND(L90="Explain to customer (no repair needed)",J90&lt;&gt;"P3"),"Check: no repair needed is usually P3","OK")))))))))</f>
        <v/>
      </c>
    </row>
    <row r="91" ht="15" customHeight="1" s="13">
      <c r="A91" s="19" t="n"/>
      <c r="B91" s="19" t="n"/>
      <c r="C91" s="19" t="n"/>
      <c r="D91" s="19" t="n"/>
      <c r="E91" s="19" t="n"/>
      <c r="F91" s="19" t="n"/>
      <c r="G91" s="19" t="n"/>
      <c r="H91" s="21" t="n"/>
      <c r="I91" s="21" t="n"/>
      <c r="J91" s="21" t="n"/>
      <c r="K91" s="21" t="n"/>
      <c r="L91" s="21" t="n"/>
      <c r="M91" s="21" t="n"/>
      <c r="N91" s="21" t="n"/>
      <c r="O91" s="19">
        <f>IF(COUNTA(H91,J91:L91)=0,"",IF(COUNTA(H91,J91:L91)&lt;4,"Incomplete: fill all four labels",IF(AND(K91="Yes",J91="P3"),"Error: safety Yes can't be P3",IF(AND(K91="Yes",L91="Explain to customer (no repair needed)"),"Error: safety Yes needs a repair, not explain",IF(AND(I91&lt;&gt;"",I91=H91),"Error: alt_category is the same as category",IF(AND(J91="P1",K91="No"),"Check: P1 with safety No is only OK if the customer is stranded",IF(AND(L91="Stop driving + roadside assistance",K91="No"),"Check: roadside with safety No is only OK if stuck somewhere unsafe",IF(AND(H91="Other / Unclear",L91&lt;&gt;"Contact customer for more information"),"Check: unclear tickets usually need contact customer",IF(AND(L91="Explain to customer (no repair needed)",J91&lt;&gt;"P3"),"Check: no repair needed is usually P3","OK")))))))))</f>
        <v/>
      </c>
    </row>
    <row r="92" ht="15" customHeight="1" s="13">
      <c r="A92" s="19" t="n"/>
      <c r="B92" s="19" t="n"/>
      <c r="C92" s="19" t="n"/>
      <c r="D92" s="19" t="n"/>
      <c r="E92" s="19" t="n"/>
      <c r="F92" s="19" t="n"/>
      <c r="G92" s="19" t="n"/>
      <c r="H92" s="21" t="n"/>
      <c r="I92" s="21" t="n"/>
      <c r="J92" s="21" t="n"/>
      <c r="K92" s="21" t="n"/>
      <c r="L92" s="21" t="n"/>
      <c r="M92" s="21" t="n"/>
      <c r="N92" s="21" t="n"/>
      <c r="O92" s="19">
        <f>IF(COUNTA(H92,J92:L92)=0,"",IF(COUNTA(H92,J92:L92)&lt;4,"Incomplete: fill all four labels",IF(AND(K92="Yes",J92="P3"),"Error: safety Yes can't be P3",IF(AND(K92="Yes",L92="Explain to customer (no repair needed)"),"Error: safety Yes needs a repair, not explain",IF(AND(I92&lt;&gt;"",I92=H92),"Error: alt_category is the same as category",IF(AND(J92="P1",K92="No"),"Check: P1 with safety No is only OK if the customer is stranded",IF(AND(L92="Stop driving + roadside assistance",K92="No"),"Check: roadside with safety No is only OK if stuck somewhere unsafe",IF(AND(H92="Other / Unclear",L92&lt;&gt;"Contact customer for more information"),"Check: unclear tickets usually need contact customer",IF(AND(L92="Explain to customer (no repair needed)",J92&lt;&gt;"P3"),"Check: no repair needed is usually P3","OK")))))))))</f>
        <v/>
      </c>
    </row>
    <row r="93" ht="15" customHeight="1" s="13">
      <c r="A93" s="19" t="n"/>
      <c r="B93" s="19" t="n"/>
      <c r="C93" s="19" t="n"/>
      <c r="D93" s="19" t="n"/>
      <c r="E93" s="19" t="n"/>
      <c r="F93" s="19" t="n"/>
      <c r="G93" s="19" t="n"/>
      <c r="H93" s="21" t="n"/>
      <c r="I93" s="21" t="n"/>
      <c r="J93" s="21" t="n"/>
      <c r="K93" s="21" t="n"/>
      <c r="L93" s="21" t="n"/>
      <c r="M93" s="21" t="n"/>
      <c r="N93" s="21" t="n"/>
      <c r="O93" s="19">
        <f>IF(COUNTA(H93,J93:L93)=0,"",IF(COUNTA(H93,J93:L93)&lt;4,"Incomplete: fill all four labels",IF(AND(K93="Yes",J93="P3"),"Error: safety Yes can't be P3",IF(AND(K93="Yes",L93="Explain to customer (no repair needed)"),"Error: safety Yes needs a repair, not explain",IF(AND(I93&lt;&gt;"",I93=H93),"Error: alt_category is the same as category",IF(AND(J93="P1",K93="No"),"Check: P1 with safety No is only OK if the customer is stranded",IF(AND(L93="Stop driving + roadside assistance",K93="No"),"Check: roadside with safety No is only OK if stuck somewhere unsafe",IF(AND(H93="Other / Unclear",L93&lt;&gt;"Contact customer for more information"),"Check: unclear tickets usually need contact customer",IF(AND(L93="Explain to customer (no repair needed)",J93&lt;&gt;"P3"),"Check: no repair needed is usually P3","OK")))))))))</f>
        <v/>
      </c>
    </row>
    <row r="94" ht="15" customHeight="1" s="13">
      <c r="A94" s="19" t="n"/>
      <c r="B94" s="19" t="n"/>
      <c r="C94" s="19" t="n"/>
      <c r="D94" s="19" t="n"/>
      <c r="E94" s="19" t="n"/>
      <c r="F94" s="19" t="n"/>
      <c r="G94" s="19" t="n"/>
      <c r="H94" s="21" t="n"/>
      <c r="I94" s="21" t="n"/>
      <c r="J94" s="21" t="n"/>
      <c r="K94" s="21" t="n"/>
      <c r="L94" s="21" t="n"/>
      <c r="M94" s="21" t="n"/>
      <c r="N94" s="21" t="n"/>
      <c r="O94" s="19">
        <f>IF(COUNTA(H94,J94:L94)=0,"",IF(COUNTA(H94,J94:L94)&lt;4,"Incomplete: fill all four labels",IF(AND(K94="Yes",J94="P3"),"Error: safety Yes can't be P3",IF(AND(K94="Yes",L94="Explain to customer (no repair needed)"),"Error: safety Yes needs a repair, not explain",IF(AND(I94&lt;&gt;"",I94=H94),"Error: alt_category is the same as category",IF(AND(J94="P1",K94="No"),"Check: P1 with safety No is only OK if the customer is stranded",IF(AND(L94="Stop driving + roadside assistance",K94="No"),"Check: roadside with safety No is only OK if stuck somewhere unsafe",IF(AND(H94="Other / Unclear",L94&lt;&gt;"Contact customer for more information"),"Check: unclear tickets usually need contact customer",IF(AND(L94="Explain to customer (no repair needed)",J94&lt;&gt;"P3"),"Check: no repair needed is usually P3","OK")))))))))</f>
        <v/>
      </c>
    </row>
    <row r="95" ht="15" customHeight="1" s="13">
      <c r="A95" s="19" t="n"/>
      <c r="B95" s="19" t="n"/>
      <c r="C95" s="19" t="n"/>
      <c r="D95" s="19" t="n"/>
      <c r="E95" s="19" t="n"/>
      <c r="F95" s="19" t="n"/>
      <c r="G95" s="19" t="n"/>
      <c r="H95" s="21" t="n"/>
      <c r="I95" s="21" t="n"/>
      <c r="J95" s="21" t="n"/>
      <c r="K95" s="21" t="n"/>
      <c r="L95" s="21" t="n"/>
      <c r="M95" s="21" t="n"/>
      <c r="N95" s="21" t="n"/>
      <c r="O95" s="19">
        <f>IF(COUNTA(H95,J95:L95)=0,"",IF(COUNTA(H95,J95:L95)&lt;4,"Incomplete: fill all four labels",IF(AND(K95="Yes",J95="P3"),"Error: safety Yes can't be P3",IF(AND(K95="Yes",L95="Explain to customer (no repair needed)"),"Error: safety Yes needs a repair, not explain",IF(AND(I95&lt;&gt;"",I95=H95),"Error: alt_category is the same as category",IF(AND(J95="P1",K95="No"),"Check: P1 with safety No is only OK if the customer is stranded",IF(AND(L95="Stop driving + roadside assistance",K95="No"),"Check: roadside with safety No is only OK if stuck somewhere unsafe",IF(AND(H95="Other / Unclear",L95&lt;&gt;"Contact customer for more information"),"Check: unclear tickets usually need contact customer",IF(AND(L95="Explain to customer (no repair needed)",J95&lt;&gt;"P3"),"Check: no repair needed is usually P3","OK")))))))))</f>
        <v/>
      </c>
    </row>
    <row r="96" ht="15" customHeight="1" s="13">
      <c r="A96" s="19" t="n"/>
      <c r="B96" s="19" t="n"/>
      <c r="C96" s="19" t="n"/>
      <c r="D96" s="19" t="n"/>
      <c r="E96" s="19" t="n"/>
      <c r="F96" s="19" t="n"/>
      <c r="G96" s="19" t="n"/>
      <c r="H96" s="21" t="n"/>
      <c r="I96" s="21" t="n"/>
      <c r="J96" s="21" t="n"/>
      <c r="K96" s="21" t="n"/>
      <c r="L96" s="21" t="n"/>
      <c r="M96" s="21" t="n"/>
      <c r="N96" s="21" t="n"/>
      <c r="O96" s="19">
        <f>IF(COUNTA(H96,J96:L96)=0,"",IF(COUNTA(H96,J96:L96)&lt;4,"Incomplete: fill all four labels",IF(AND(K96="Yes",J96="P3"),"Error: safety Yes can't be P3",IF(AND(K96="Yes",L96="Explain to customer (no repair needed)"),"Error: safety Yes needs a repair, not explain",IF(AND(I96&lt;&gt;"",I96=H96),"Error: alt_category is the same as category",IF(AND(J96="P1",K96="No"),"Check: P1 with safety No is only OK if the customer is stranded",IF(AND(L96="Stop driving + roadside assistance",K96="No"),"Check: roadside with safety No is only OK if stuck somewhere unsafe",IF(AND(H96="Other / Unclear",L96&lt;&gt;"Contact customer for more information"),"Check: unclear tickets usually need contact customer",IF(AND(L96="Explain to customer (no repair needed)",J96&lt;&gt;"P3"),"Check: no repair needed is usually P3","OK")))))))))</f>
        <v/>
      </c>
    </row>
    <row r="97" ht="15" customHeight="1" s="13">
      <c r="A97" s="19" t="n"/>
      <c r="B97" s="19" t="n"/>
      <c r="C97" s="19" t="n"/>
      <c r="D97" s="19" t="n"/>
      <c r="E97" s="19" t="n"/>
      <c r="F97" s="19" t="n"/>
      <c r="G97" s="19" t="n"/>
      <c r="H97" s="21" t="n"/>
      <c r="I97" s="21" t="n"/>
      <c r="J97" s="21" t="n"/>
      <c r="K97" s="21" t="n"/>
      <c r="L97" s="21" t="n"/>
      <c r="M97" s="21" t="n"/>
      <c r="N97" s="21" t="n"/>
      <c r="O97" s="19">
        <f>IF(COUNTA(H97,J97:L97)=0,"",IF(COUNTA(H97,J97:L97)&lt;4,"Incomplete: fill all four labels",IF(AND(K97="Yes",J97="P3"),"Error: safety Yes can't be P3",IF(AND(K97="Yes",L97="Explain to customer (no repair needed)"),"Error: safety Yes needs a repair, not explain",IF(AND(I97&lt;&gt;"",I97=H97),"Error: alt_category is the same as category",IF(AND(J97="P1",K97="No"),"Check: P1 with safety No is only OK if the customer is stranded",IF(AND(L97="Stop driving + roadside assistance",K97="No"),"Check: roadside with safety No is only OK if stuck somewhere unsafe",IF(AND(H97="Other / Unclear",L97&lt;&gt;"Contact customer for more information"),"Check: unclear tickets usually need contact customer",IF(AND(L97="Explain to customer (no repair needed)",J97&lt;&gt;"P3"),"Check: no repair needed is usually P3","OK")))))))))</f>
        <v/>
      </c>
    </row>
    <row r="98" ht="15" customHeight="1" s="13">
      <c r="A98" s="19" t="n"/>
      <c r="B98" s="19" t="n"/>
      <c r="C98" s="19" t="n"/>
      <c r="D98" s="19" t="n"/>
      <c r="E98" s="19" t="n"/>
      <c r="F98" s="19" t="n"/>
      <c r="G98" s="19" t="n"/>
      <c r="H98" s="21" t="n"/>
      <c r="I98" s="21" t="n"/>
      <c r="J98" s="21" t="n"/>
      <c r="K98" s="21" t="n"/>
      <c r="L98" s="21" t="n"/>
      <c r="M98" s="21" t="n"/>
      <c r="N98" s="21" t="n"/>
      <c r="O98" s="19">
        <f>IF(COUNTA(H98,J98:L98)=0,"",IF(COUNTA(H98,J98:L98)&lt;4,"Incomplete: fill all four labels",IF(AND(K98="Yes",J98="P3"),"Error: safety Yes can't be P3",IF(AND(K98="Yes",L98="Explain to customer (no repair needed)"),"Error: safety Yes needs a repair, not explain",IF(AND(I98&lt;&gt;"",I98=H98),"Error: alt_category is the same as category",IF(AND(J98="P1",K98="No"),"Check: P1 with safety No is only OK if the customer is stranded",IF(AND(L98="Stop driving + roadside assistance",K98="No"),"Check: roadside with safety No is only OK if stuck somewhere unsafe",IF(AND(H98="Other / Unclear",L98&lt;&gt;"Contact customer for more information"),"Check: unclear tickets usually need contact customer",IF(AND(L98="Explain to customer (no repair needed)",J98&lt;&gt;"P3"),"Check: no repair needed is usually P3","OK")))))))))</f>
        <v/>
      </c>
    </row>
    <row r="99" ht="15" customHeight="1" s="13">
      <c r="A99" s="19" t="n"/>
      <c r="B99" s="19" t="n"/>
      <c r="C99" s="19" t="n"/>
      <c r="D99" s="19" t="n"/>
      <c r="E99" s="19" t="n"/>
      <c r="F99" s="19" t="n"/>
      <c r="G99" s="19" t="n"/>
      <c r="H99" s="21" t="n"/>
      <c r="I99" s="21" t="n"/>
      <c r="J99" s="21" t="n"/>
      <c r="K99" s="21" t="n"/>
      <c r="L99" s="21" t="n"/>
      <c r="M99" s="21" t="n"/>
      <c r="N99" s="21" t="n"/>
      <c r="O99" s="19">
        <f>IF(COUNTA(H99,J99:L99)=0,"",IF(COUNTA(H99,J99:L99)&lt;4,"Incomplete: fill all four labels",IF(AND(K99="Yes",J99="P3"),"Error: safety Yes can't be P3",IF(AND(K99="Yes",L99="Explain to customer (no repair needed)"),"Error: safety Yes needs a repair, not explain",IF(AND(I99&lt;&gt;"",I99=H99),"Error: alt_category is the same as category",IF(AND(J99="P1",K99="No"),"Check: P1 with safety No is only OK if the customer is stranded",IF(AND(L99="Stop driving + roadside assistance",K99="No"),"Check: roadside with safety No is only OK if stuck somewhere unsafe",IF(AND(H99="Other / Unclear",L99&lt;&gt;"Contact customer for more information"),"Check: unclear tickets usually need contact customer",IF(AND(L99="Explain to customer (no repair needed)",J99&lt;&gt;"P3"),"Check: no repair needed is usually P3","OK")))))))))</f>
        <v/>
      </c>
    </row>
    <row r="100" ht="15" customHeight="1" s="13">
      <c r="A100" s="19" t="n"/>
      <c r="B100" s="19" t="n"/>
      <c r="C100" s="19" t="n"/>
      <c r="D100" s="19" t="n"/>
      <c r="E100" s="19" t="n"/>
      <c r="F100" s="19" t="n"/>
      <c r="G100" s="19" t="n"/>
      <c r="H100" s="21" t="n"/>
      <c r="I100" s="21" t="n"/>
      <c r="J100" s="21" t="n"/>
      <c r="K100" s="21" t="n"/>
      <c r="L100" s="21" t="n"/>
      <c r="M100" s="21" t="n"/>
      <c r="N100" s="21" t="n"/>
      <c r="O100" s="19">
        <f>IF(COUNTA(H100,J100:L100)=0,"",IF(COUNTA(H100,J100:L100)&lt;4,"Incomplete: fill all four labels",IF(AND(K100="Yes",J100="P3"),"Error: safety Yes can't be P3",IF(AND(K100="Yes",L100="Explain to customer (no repair needed)"),"Error: safety Yes needs a repair, not explain",IF(AND(I100&lt;&gt;"",I100=H100),"Error: alt_category is the same as category",IF(AND(J100="P1",K100="No"),"Check: P1 with safety No is only OK if the customer is stranded",IF(AND(L100="Stop driving + roadside assistance",K100="No"),"Check: roadside with safety No is only OK if stuck somewhere unsafe",IF(AND(H100="Other / Unclear",L100&lt;&gt;"Contact customer for more information"),"Check: unclear tickets usually need contact customer",IF(AND(L100="Explain to customer (no repair needed)",J100&lt;&gt;"P3"),"Check: no repair needed is usually P3","OK")))))))))</f>
        <v/>
      </c>
    </row>
    <row r="101" ht="15" customHeight="1" s="13">
      <c r="A101" s="19" t="n"/>
      <c r="B101" s="19" t="n"/>
      <c r="C101" s="19" t="n"/>
      <c r="D101" s="19" t="n"/>
      <c r="E101" s="19" t="n"/>
      <c r="F101" s="19" t="n"/>
      <c r="G101" s="19" t="n"/>
      <c r="H101" s="21" t="n"/>
      <c r="I101" s="21" t="n"/>
      <c r="J101" s="21" t="n"/>
      <c r="K101" s="21" t="n"/>
      <c r="L101" s="21" t="n"/>
      <c r="M101" s="21" t="n"/>
      <c r="N101" s="21" t="n"/>
      <c r="O101" s="19">
        <f>IF(COUNTA(H101,J101:L101)=0,"",IF(COUNTA(H101,J101:L101)&lt;4,"Incomplete: fill all four labels",IF(AND(K101="Yes",J101="P3"),"Error: safety Yes can't be P3",IF(AND(K101="Yes",L101="Explain to customer (no repair needed)"),"Error: safety Yes needs a repair, not explain",IF(AND(I101&lt;&gt;"",I101=H101),"Error: alt_category is the same as category",IF(AND(J101="P1",K101="No"),"Check: P1 with safety No is only OK if the customer is stranded",IF(AND(L101="Stop driving + roadside assistance",K101="No"),"Check: roadside with safety No is only OK if stuck somewhere unsafe",IF(AND(H101="Other / Unclear",L101&lt;&gt;"Contact customer for more information"),"Check: unclear tickets usually need contact customer",IF(AND(L101="Explain to customer (no repair needed)",J101&lt;&gt;"P3"),"Check: no repair needed is usually P3","OK")))))))))</f>
        <v/>
      </c>
    </row>
    <row r="102" ht="15" customHeight="1" s="13">
      <c r="A102" s="19" t="n"/>
      <c r="B102" s="19" t="n"/>
      <c r="C102" s="19" t="n"/>
      <c r="D102" s="19" t="n"/>
      <c r="E102" s="19" t="n"/>
      <c r="F102" s="19" t="n"/>
      <c r="G102" s="19" t="n"/>
      <c r="H102" s="21" t="n"/>
      <c r="I102" s="21" t="n"/>
      <c r="J102" s="21" t="n"/>
      <c r="K102" s="21" t="n"/>
      <c r="L102" s="21" t="n"/>
      <c r="M102" s="21" t="n"/>
      <c r="N102" s="21" t="n"/>
      <c r="O102" s="19">
        <f>IF(COUNTA(H102,J102:L102)=0,"",IF(COUNTA(H102,J102:L102)&lt;4,"Incomplete: fill all four labels",IF(AND(K102="Yes",J102="P3"),"Error: safety Yes can't be P3",IF(AND(K102="Yes",L102="Explain to customer (no repair needed)"),"Error: safety Yes needs a repair, not explain",IF(AND(I102&lt;&gt;"",I102=H102),"Error: alt_category is the same as category",IF(AND(J102="P1",K102="No"),"Check: P1 with safety No is only OK if the customer is stranded",IF(AND(L102="Stop driving + roadside assistance",K102="No"),"Check: roadside with safety No is only OK if stuck somewhere unsafe",IF(AND(H102="Other / Unclear",L102&lt;&gt;"Contact customer for more information"),"Check: unclear tickets usually need contact customer",IF(AND(L102="Explain to customer (no repair needed)",J102&lt;&gt;"P3"),"Check: no repair needed is usually P3","OK")))))))))</f>
        <v/>
      </c>
    </row>
    <row r="103" ht="15" customHeight="1" s="13">
      <c r="A103" s="19" t="n"/>
      <c r="B103" s="19" t="n"/>
      <c r="C103" s="19" t="n"/>
      <c r="D103" s="19" t="n"/>
      <c r="E103" s="19" t="n"/>
      <c r="F103" s="19" t="n"/>
      <c r="G103" s="19" t="n"/>
      <c r="H103" s="21" t="n"/>
      <c r="I103" s="21" t="n"/>
      <c r="J103" s="21" t="n"/>
      <c r="K103" s="21" t="n"/>
      <c r="L103" s="21" t="n"/>
      <c r="M103" s="21" t="n"/>
      <c r="N103" s="21" t="n"/>
      <c r="O103" s="19">
        <f>IF(COUNTA(H103,J103:L103)=0,"",IF(COUNTA(H103,J103:L103)&lt;4,"Incomplete: fill all four labels",IF(AND(K103="Yes",J103="P3"),"Error: safety Yes can't be P3",IF(AND(K103="Yes",L103="Explain to customer (no repair needed)"),"Error: safety Yes needs a repair, not explain",IF(AND(I103&lt;&gt;"",I103=H103),"Error: alt_category is the same as category",IF(AND(J103="P1",K103="No"),"Check: P1 with safety No is only OK if the customer is stranded",IF(AND(L103="Stop driving + roadside assistance",K103="No"),"Check: roadside with safety No is only OK if stuck somewhere unsafe",IF(AND(H103="Other / Unclear",L103&lt;&gt;"Contact customer for more information"),"Check: unclear tickets usually need contact customer",IF(AND(L103="Explain to customer (no repair needed)",J103&lt;&gt;"P3"),"Check: no repair needed is usually P3","OK")))))))))</f>
        <v/>
      </c>
    </row>
    <row r="104" ht="15" customHeight="1" s="13">
      <c r="A104" s="19" t="n"/>
      <c r="B104" s="19" t="n"/>
      <c r="C104" s="19" t="n"/>
      <c r="D104" s="19" t="n"/>
      <c r="E104" s="19" t="n"/>
      <c r="F104" s="19" t="n"/>
      <c r="G104" s="19" t="n"/>
      <c r="H104" s="21" t="n"/>
      <c r="I104" s="21" t="n"/>
      <c r="J104" s="21" t="n"/>
      <c r="K104" s="21" t="n"/>
      <c r="L104" s="21" t="n"/>
      <c r="M104" s="21" t="n"/>
      <c r="N104" s="21" t="n"/>
      <c r="O104" s="19">
        <f>IF(COUNTA(H104,J104:L104)=0,"",IF(COUNTA(H104,J104:L104)&lt;4,"Incomplete: fill all four labels",IF(AND(K104="Yes",J104="P3"),"Error: safety Yes can't be P3",IF(AND(K104="Yes",L104="Explain to customer (no repair needed)"),"Error: safety Yes needs a repair, not explain",IF(AND(I104&lt;&gt;"",I104=H104),"Error: alt_category is the same as category",IF(AND(J104="P1",K104="No"),"Check: P1 with safety No is only OK if the customer is stranded",IF(AND(L104="Stop driving + roadside assistance",K104="No"),"Check: roadside with safety No is only OK if stuck somewhere unsafe",IF(AND(H104="Other / Unclear",L104&lt;&gt;"Contact customer for more information"),"Check: unclear tickets usually need contact customer",IF(AND(L104="Explain to customer (no repair needed)",J104&lt;&gt;"P3"),"Check: no repair needed is usually P3","OK")))))))))</f>
        <v/>
      </c>
    </row>
    <row r="105" ht="15" customHeight="1" s="13">
      <c r="A105" s="19" t="n"/>
      <c r="B105" s="19" t="n"/>
      <c r="C105" s="19" t="n"/>
      <c r="D105" s="19" t="n"/>
      <c r="E105" s="19" t="n"/>
      <c r="F105" s="19" t="n"/>
      <c r="G105" s="19" t="n"/>
      <c r="H105" s="21" t="n"/>
      <c r="I105" s="21" t="n"/>
      <c r="J105" s="21" t="n"/>
      <c r="K105" s="21" t="n"/>
      <c r="L105" s="21" t="n"/>
      <c r="M105" s="21" t="n"/>
      <c r="N105" s="21" t="n"/>
      <c r="O105" s="19">
        <f>IF(COUNTA(H105,J105:L105)=0,"",IF(COUNTA(H105,J105:L105)&lt;4,"Incomplete: fill all four labels",IF(AND(K105="Yes",J105="P3"),"Error: safety Yes can't be P3",IF(AND(K105="Yes",L105="Explain to customer (no repair needed)"),"Error: safety Yes needs a repair, not explain",IF(AND(I105&lt;&gt;"",I105=H105),"Error: alt_category is the same as category",IF(AND(J105="P1",K105="No"),"Check: P1 with safety No is only OK if the customer is stranded",IF(AND(L105="Stop driving + roadside assistance",K105="No"),"Check: roadside with safety No is only OK if stuck somewhere unsafe",IF(AND(H105="Other / Unclear",L105&lt;&gt;"Contact customer for more information"),"Check: unclear tickets usually need contact customer",IF(AND(L105="Explain to customer (no repair needed)",J105&lt;&gt;"P3"),"Check: no repair needed is usually P3","OK")))))))))</f>
        <v/>
      </c>
    </row>
    <row r="106" ht="15" customHeight="1" s="13">
      <c r="A106" s="19" t="n"/>
      <c r="B106" s="19" t="n"/>
      <c r="C106" s="19" t="n"/>
      <c r="D106" s="19" t="n"/>
      <c r="E106" s="19" t="n"/>
      <c r="F106" s="19" t="n"/>
      <c r="G106" s="19" t="n"/>
      <c r="H106" s="21" t="n"/>
      <c r="I106" s="21" t="n"/>
      <c r="J106" s="21" t="n"/>
      <c r="K106" s="21" t="n"/>
      <c r="L106" s="21" t="n"/>
      <c r="M106" s="21" t="n"/>
      <c r="N106" s="21" t="n"/>
      <c r="O106" s="19">
        <f>IF(COUNTA(H106,J106:L106)=0,"",IF(COUNTA(H106,J106:L106)&lt;4,"Incomplete: fill all four labels",IF(AND(K106="Yes",J106="P3"),"Error: safety Yes can't be P3",IF(AND(K106="Yes",L106="Explain to customer (no repair needed)"),"Error: safety Yes needs a repair, not explain",IF(AND(I106&lt;&gt;"",I106=H106),"Error: alt_category is the same as category",IF(AND(J106="P1",K106="No"),"Check: P1 with safety No is only OK if the customer is stranded",IF(AND(L106="Stop driving + roadside assistance",K106="No"),"Check: roadside with safety No is only OK if stuck somewhere unsafe",IF(AND(H106="Other / Unclear",L106&lt;&gt;"Contact customer for more information"),"Check: unclear tickets usually need contact customer",IF(AND(L106="Explain to customer (no repair needed)",J106&lt;&gt;"P3"),"Check: no repair needed is usually P3","OK")))))))))</f>
        <v/>
      </c>
    </row>
    <row r="107" ht="15" customHeight="1" s="13">
      <c r="A107" s="19" t="n"/>
      <c r="B107" s="19" t="n"/>
      <c r="C107" s="19" t="n"/>
      <c r="D107" s="19" t="n"/>
      <c r="E107" s="19" t="n"/>
      <c r="F107" s="19" t="n"/>
      <c r="G107" s="19" t="n"/>
      <c r="H107" s="21" t="n"/>
      <c r="I107" s="21" t="n"/>
      <c r="J107" s="21" t="n"/>
      <c r="K107" s="21" t="n"/>
      <c r="L107" s="21" t="n"/>
      <c r="M107" s="21" t="n"/>
      <c r="N107" s="21" t="n"/>
      <c r="O107" s="19">
        <f>IF(COUNTA(H107,J107:L107)=0,"",IF(COUNTA(H107,J107:L107)&lt;4,"Incomplete: fill all four labels",IF(AND(K107="Yes",J107="P3"),"Error: safety Yes can't be P3",IF(AND(K107="Yes",L107="Explain to customer (no repair needed)"),"Error: safety Yes needs a repair, not explain",IF(AND(I107&lt;&gt;"",I107=H107),"Error: alt_category is the same as category",IF(AND(J107="P1",K107="No"),"Check: P1 with safety No is only OK if the customer is stranded",IF(AND(L107="Stop driving + roadside assistance",K107="No"),"Check: roadside with safety No is only OK if stuck somewhere unsafe",IF(AND(H107="Other / Unclear",L107&lt;&gt;"Contact customer for more information"),"Check: unclear tickets usually need contact customer",IF(AND(L107="Explain to customer (no repair needed)",J107&lt;&gt;"P3"),"Check: no repair needed is usually P3","OK")))))))))</f>
        <v/>
      </c>
    </row>
    <row r="108" ht="15" customHeight="1" s="13">
      <c r="A108" s="19" t="n"/>
      <c r="B108" s="19" t="n"/>
      <c r="C108" s="19" t="n"/>
      <c r="D108" s="19" t="n"/>
      <c r="E108" s="19" t="n"/>
      <c r="F108" s="19" t="n"/>
      <c r="G108" s="19" t="n"/>
      <c r="H108" s="21" t="n"/>
      <c r="I108" s="21" t="n"/>
      <c r="J108" s="21" t="n"/>
      <c r="K108" s="21" t="n"/>
      <c r="L108" s="21" t="n"/>
      <c r="M108" s="21" t="n"/>
      <c r="N108" s="21" t="n"/>
      <c r="O108" s="19">
        <f>IF(COUNTA(H108,J108:L108)=0,"",IF(COUNTA(H108,J108:L108)&lt;4,"Incomplete: fill all four labels",IF(AND(K108="Yes",J108="P3"),"Error: safety Yes can't be P3",IF(AND(K108="Yes",L108="Explain to customer (no repair needed)"),"Error: safety Yes needs a repair, not explain",IF(AND(I108&lt;&gt;"",I108=H108),"Error: alt_category is the same as category",IF(AND(J108="P1",K108="No"),"Check: P1 with safety No is only OK if the customer is stranded",IF(AND(L108="Stop driving + roadside assistance",K108="No"),"Check: roadside with safety No is only OK if stuck somewhere unsafe",IF(AND(H108="Other / Unclear",L108&lt;&gt;"Contact customer for more information"),"Check: unclear tickets usually need contact customer",IF(AND(L108="Explain to customer (no repair needed)",J108&lt;&gt;"P3"),"Check: no repair needed is usually P3","OK")))))))))</f>
        <v/>
      </c>
    </row>
    <row r="109" ht="15" customHeight="1" s="13">
      <c r="A109" s="19" t="n"/>
      <c r="B109" s="19" t="n"/>
      <c r="C109" s="19" t="n"/>
      <c r="D109" s="19" t="n"/>
      <c r="E109" s="19" t="n"/>
      <c r="F109" s="19" t="n"/>
      <c r="G109" s="19" t="n"/>
      <c r="H109" s="21" t="n"/>
      <c r="I109" s="21" t="n"/>
      <c r="J109" s="21" t="n"/>
      <c r="K109" s="21" t="n"/>
      <c r="L109" s="21" t="n"/>
      <c r="M109" s="21" t="n"/>
      <c r="N109" s="21" t="n"/>
      <c r="O109" s="19">
        <f>IF(COUNTA(H109,J109:L109)=0,"",IF(COUNTA(H109,J109:L109)&lt;4,"Incomplete: fill all four labels",IF(AND(K109="Yes",J109="P3"),"Error: safety Yes can't be P3",IF(AND(K109="Yes",L109="Explain to customer (no repair needed)"),"Error: safety Yes needs a repair, not explain",IF(AND(I109&lt;&gt;"",I109=H109),"Error: alt_category is the same as category",IF(AND(J109="P1",K109="No"),"Check: P1 with safety No is only OK if the customer is stranded",IF(AND(L109="Stop driving + roadside assistance",K109="No"),"Check: roadside with safety No is only OK if stuck somewhere unsafe",IF(AND(H109="Other / Unclear",L109&lt;&gt;"Contact customer for more information"),"Check: unclear tickets usually need contact customer",IF(AND(L109="Explain to customer (no repair needed)",J109&lt;&gt;"P3"),"Check: no repair needed is usually P3","OK")))))))))</f>
        <v/>
      </c>
    </row>
    <row r="110" ht="15" customHeight="1" s="13">
      <c r="A110" s="19" t="n"/>
      <c r="B110" s="19" t="n"/>
      <c r="C110" s="19" t="n"/>
      <c r="D110" s="19" t="n"/>
      <c r="E110" s="19" t="n"/>
      <c r="F110" s="19" t="n"/>
      <c r="G110" s="19" t="n"/>
      <c r="H110" s="21" t="n"/>
      <c r="I110" s="21" t="n"/>
      <c r="J110" s="21" t="n"/>
      <c r="K110" s="21" t="n"/>
      <c r="L110" s="21" t="n"/>
      <c r="M110" s="21" t="n"/>
      <c r="N110" s="21" t="n"/>
      <c r="O110" s="19">
        <f>IF(COUNTA(H110,J110:L110)=0,"",IF(COUNTA(H110,J110:L110)&lt;4,"Incomplete: fill all four labels",IF(AND(K110="Yes",J110="P3"),"Error: safety Yes can't be P3",IF(AND(K110="Yes",L110="Explain to customer (no repair needed)"),"Error: safety Yes needs a repair, not explain",IF(AND(I110&lt;&gt;"",I110=H110),"Error: alt_category is the same as category",IF(AND(J110="P1",K110="No"),"Check: P1 with safety No is only OK if the customer is stranded",IF(AND(L110="Stop driving + roadside assistance",K110="No"),"Check: roadside with safety No is only OK if stuck somewhere unsafe",IF(AND(H110="Other / Unclear",L110&lt;&gt;"Contact customer for more information"),"Check: unclear tickets usually need contact customer",IF(AND(L110="Explain to customer (no repair needed)",J110&lt;&gt;"P3"),"Check: no repair needed is usually P3","OK")))))))))</f>
        <v/>
      </c>
    </row>
    <row r="111" ht="15" customHeight="1" s="13">
      <c r="A111" s="19" t="n"/>
      <c r="B111" s="19" t="n"/>
      <c r="C111" s="19" t="n"/>
      <c r="D111" s="19" t="n"/>
      <c r="E111" s="19" t="n"/>
      <c r="F111" s="19" t="n"/>
      <c r="G111" s="19" t="n"/>
      <c r="H111" s="21" t="n"/>
      <c r="I111" s="21" t="n"/>
      <c r="J111" s="21" t="n"/>
      <c r="K111" s="21" t="n"/>
      <c r="L111" s="21" t="n"/>
      <c r="M111" s="21" t="n"/>
      <c r="N111" s="21" t="n"/>
      <c r="O111" s="19">
        <f>IF(COUNTA(H111,J111:L111)=0,"",IF(COUNTA(H111,J111:L111)&lt;4,"Incomplete: fill all four labels",IF(AND(K111="Yes",J111="P3"),"Error: safety Yes can't be P3",IF(AND(K111="Yes",L111="Explain to customer (no repair needed)"),"Error: safety Yes needs a repair, not explain",IF(AND(I111&lt;&gt;"",I111=H111),"Error: alt_category is the same as category",IF(AND(J111="P1",K111="No"),"Check: P1 with safety No is only OK if the customer is stranded",IF(AND(L111="Stop driving + roadside assistance",K111="No"),"Check: roadside with safety No is only OK if stuck somewhere unsafe",IF(AND(H111="Other / Unclear",L111&lt;&gt;"Contact customer for more information"),"Check: unclear tickets usually need contact customer",IF(AND(L111="Explain to customer (no repair needed)",J111&lt;&gt;"P3"),"Check: no repair needed is usually P3","OK")))))))))</f>
        <v/>
      </c>
    </row>
    <row r="112" ht="15" customHeight="1" s="13">
      <c r="A112" s="19" t="n"/>
      <c r="B112" s="19" t="n"/>
      <c r="C112" s="19" t="n"/>
      <c r="D112" s="19" t="n"/>
      <c r="E112" s="19" t="n"/>
      <c r="F112" s="19" t="n"/>
      <c r="G112" s="19" t="n"/>
      <c r="H112" s="21" t="n"/>
      <c r="I112" s="21" t="n"/>
      <c r="J112" s="21" t="n"/>
      <c r="K112" s="21" t="n"/>
      <c r="L112" s="21" t="n"/>
      <c r="M112" s="21" t="n"/>
      <c r="N112" s="21" t="n"/>
      <c r="O112" s="19">
        <f>IF(COUNTA(H112,J112:L112)=0,"",IF(COUNTA(H112,J112:L112)&lt;4,"Incomplete: fill all four labels",IF(AND(K112="Yes",J112="P3"),"Error: safety Yes can't be P3",IF(AND(K112="Yes",L112="Explain to customer (no repair needed)"),"Error: safety Yes needs a repair, not explain",IF(AND(I112&lt;&gt;"",I112=H112),"Error: alt_category is the same as category",IF(AND(J112="P1",K112="No"),"Check: P1 with safety No is only OK if the customer is stranded",IF(AND(L112="Stop driving + roadside assistance",K112="No"),"Check: roadside with safety No is only OK if stuck somewhere unsafe",IF(AND(H112="Other / Unclear",L112&lt;&gt;"Contact customer for more information"),"Check: unclear tickets usually need contact customer",IF(AND(L112="Explain to customer (no repair needed)",J112&lt;&gt;"P3"),"Check: no repair needed is usually P3","OK")))))))))</f>
        <v/>
      </c>
    </row>
    <row r="113" ht="15" customHeight="1" s="13">
      <c r="A113" s="19" t="n"/>
      <c r="B113" s="19" t="n"/>
      <c r="C113" s="19" t="n"/>
      <c r="D113" s="19" t="n"/>
      <c r="E113" s="19" t="n"/>
      <c r="F113" s="19" t="n"/>
      <c r="G113" s="19" t="n"/>
      <c r="H113" s="21" t="n"/>
      <c r="I113" s="21" t="n"/>
      <c r="J113" s="21" t="n"/>
      <c r="K113" s="21" t="n"/>
      <c r="L113" s="21" t="n"/>
      <c r="M113" s="21" t="n"/>
      <c r="N113" s="21" t="n"/>
      <c r="O113" s="19">
        <f>IF(COUNTA(H113,J113:L113)=0,"",IF(COUNTA(H113,J113:L113)&lt;4,"Incomplete: fill all four labels",IF(AND(K113="Yes",J113="P3"),"Error: safety Yes can't be P3",IF(AND(K113="Yes",L113="Explain to customer (no repair needed)"),"Error: safety Yes needs a repair, not explain",IF(AND(I113&lt;&gt;"",I113=H113),"Error: alt_category is the same as category",IF(AND(J113="P1",K113="No"),"Check: P1 with safety No is only OK if the customer is stranded",IF(AND(L113="Stop driving + roadside assistance",K113="No"),"Check: roadside with safety No is only OK if stuck somewhere unsafe",IF(AND(H113="Other / Unclear",L113&lt;&gt;"Contact customer for more information"),"Check: unclear tickets usually need contact customer",IF(AND(L113="Explain to customer (no repair needed)",J113&lt;&gt;"P3"),"Check: no repair needed is usually P3","OK")))))))))</f>
        <v/>
      </c>
    </row>
    <row r="114" ht="15" customHeight="1" s="13">
      <c r="A114" s="19" t="n"/>
      <c r="B114" s="19" t="n"/>
      <c r="C114" s="19" t="n"/>
      <c r="D114" s="19" t="n"/>
      <c r="E114" s="19" t="n"/>
      <c r="F114" s="19" t="n"/>
      <c r="G114" s="19" t="n"/>
      <c r="H114" s="21" t="n"/>
      <c r="I114" s="21" t="n"/>
      <c r="J114" s="21" t="n"/>
      <c r="K114" s="21" t="n"/>
      <c r="L114" s="21" t="n"/>
      <c r="M114" s="21" t="n"/>
      <c r="N114" s="21" t="n"/>
      <c r="O114" s="19">
        <f>IF(COUNTA(H114,J114:L114)=0,"",IF(COUNTA(H114,J114:L114)&lt;4,"Incomplete: fill all four labels",IF(AND(K114="Yes",J114="P3"),"Error: safety Yes can't be P3",IF(AND(K114="Yes",L114="Explain to customer (no repair needed)"),"Error: safety Yes needs a repair, not explain",IF(AND(I114&lt;&gt;"",I114=H114),"Error: alt_category is the same as category",IF(AND(J114="P1",K114="No"),"Check: P1 with safety No is only OK if the customer is stranded",IF(AND(L114="Stop driving + roadside assistance",K114="No"),"Check: roadside with safety No is only OK if stuck somewhere unsafe",IF(AND(H114="Other / Unclear",L114&lt;&gt;"Contact customer for more information"),"Check: unclear tickets usually need contact customer",IF(AND(L114="Explain to customer (no repair needed)",J114&lt;&gt;"P3"),"Check: no repair needed is usually P3","OK")))))))))</f>
        <v/>
      </c>
    </row>
    <row r="115" ht="15" customHeight="1" s="13">
      <c r="A115" s="19" t="n"/>
      <c r="B115" s="19" t="n"/>
      <c r="C115" s="19" t="n"/>
      <c r="D115" s="19" t="n"/>
      <c r="E115" s="19" t="n"/>
      <c r="F115" s="19" t="n"/>
      <c r="G115" s="19" t="n"/>
      <c r="H115" s="21" t="n"/>
      <c r="I115" s="21" t="n"/>
      <c r="J115" s="21" t="n"/>
      <c r="K115" s="21" t="n"/>
      <c r="L115" s="21" t="n"/>
      <c r="M115" s="21" t="n"/>
      <c r="N115" s="21" t="n"/>
      <c r="O115" s="19">
        <f>IF(COUNTA(H115,J115:L115)=0,"",IF(COUNTA(H115,J115:L115)&lt;4,"Incomplete: fill all four labels",IF(AND(K115="Yes",J115="P3"),"Error: safety Yes can't be P3",IF(AND(K115="Yes",L115="Explain to customer (no repair needed)"),"Error: safety Yes needs a repair, not explain",IF(AND(I115&lt;&gt;"",I115=H115),"Error: alt_category is the same as category",IF(AND(J115="P1",K115="No"),"Check: P1 with safety No is only OK if the customer is stranded",IF(AND(L115="Stop driving + roadside assistance",K115="No"),"Check: roadside with safety No is only OK if stuck somewhere unsafe",IF(AND(H115="Other / Unclear",L115&lt;&gt;"Contact customer for more information"),"Check: unclear tickets usually need contact customer",IF(AND(L115="Explain to customer (no repair needed)",J115&lt;&gt;"P3"),"Check: no repair needed is usually P3","OK")))))))))</f>
        <v/>
      </c>
    </row>
    <row r="116" ht="15" customHeight="1" s="13">
      <c r="A116" s="19" t="n"/>
      <c r="B116" s="19" t="n"/>
      <c r="C116" s="19" t="n"/>
      <c r="D116" s="19" t="n"/>
      <c r="E116" s="19" t="n"/>
      <c r="F116" s="19" t="n"/>
      <c r="G116" s="19" t="n"/>
      <c r="H116" s="21" t="n"/>
      <c r="I116" s="21" t="n"/>
      <c r="J116" s="21" t="n"/>
      <c r="K116" s="21" t="n"/>
      <c r="L116" s="21" t="n"/>
      <c r="M116" s="21" t="n"/>
      <c r="N116" s="21" t="n"/>
      <c r="O116" s="19">
        <f>IF(COUNTA(H116,J116:L116)=0,"",IF(COUNTA(H116,J116:L116)&lt;4,"Incomplete: fill all four labels",IF(AND(K116="Yes",J116="P3"),"Error: safety Yes can't be P3",IF(AND(K116="Yes",L116="Explain to customer (no repair needed)"),"Error: safety Yes needs a repair, not explain",IF(AND(I116&lt;&gt;"",I116=H116),"Error: alt_category is the same as category",IF(AND(J116="P1",K116="No"),"Check: P1 with safety No is only OK if the customer is stranded",IF(AND(L116="Stop driving + roadside assistance",K116="No"),"Check: roadside with safety No is only OK if stuck somewhere unsafe",IF(AND(H116="Other / Unclear",L116&lt;&gt;"Contact customer for more information"),"Check: unclear tickets usually need contact customer",IF(AND(L116="Explain to customer (no repair needed)",J116&lt;&gt;"P3"),"Check: no repair needed is usually P3","OK")))))))))</f>
        <v/>
      </c>
    </row>
    <row r="117" ht="15" customHeight="1" s="13">
      <c r="A117" s="19" t="n"/>
      <c r="B117" s="19" t="n"/>
      <c r="C117" s="19" t="n"/>
      <c r="D117" s="19" t="n"/>
      <c r="E117" s="19" t="n"/>
      <c r="F117" s="19" t="n"/>
      <c r="G117" s="19" t="n"/>
      <c r="H117" s="21" t="n"/>
      <c r="I117" s="21" t="n"/>
      <c r="J117" s="21" t="n"/>
      <c r="K117" s="21" t="n"/>
      <c r="L117" s="21" t="n"/>
      <c r="M117" s="21" t="n"/>
      <c r="N117" s="21" t="n"/>
      <c r="O117" s="19">
        <f>IF(COUNTA(H117,J117:L117)=0,"",IF(COUNTA(H117,J117:L117)&lt;4,"Incomplete: fill all four labels",IF(AND(K117="Yes",J117="P3"),"Error: safety Yes can't be P3",IF(AND(K117="Yes",L117="Explain to customer (no repair needed)"),"Error: safety Yes needs a repair, not explain",IF(AND(I117&lt;&gt;"",I117=H117),"Error: alt_category is the same as category",IF(AND(J117="P1",K117="No"),"Check: P1 with safety No is only OK if the customer is stranded",IF(AND(L117="Stop driving + roadside assistance",K117="No"),"Check: roadside with safety No is only OK if stuck somewhere unsafe",IF(AND(H117="Other / Unclear",L117&lt;&gt;"Contact customer for more information"),"Check: unclear tickets usually need contact customer",IF(AND(L117="Explain to customer (no repair needed)",J117&lt;&gt;"P3"),"Check: no repair needed is usually P3","OK")))))))))</f>
        <v/>
      </c>
    </row>
    <row r="118" ht="15" customHeight="1" s="13">
      <c r="A118" s="19" t="n"/>
      <c r="B118" s="19" t="n"/>
      <c r="C118" s="19" t="n"/>
      <c r="D118" s="19" t="n"/>
      <c r="E118" s="19" t="n"/>
      <c r="F118" s="19" t="n"/>
      <c r="G118" s="19" t="n"/>
      <c r="H118" s="21" t="n"/>
      <c r="I118" s="21" t="n"/>
      <c r="J118" s="21" t="n"/>
      <c r="K118" s="21" t="n"/>
      <c r="L118" s="21" t="n"/>
      <c r="M118" s="21" t="n"/>
      <c r="N118" s="21" t="n"/>
      <c r="O118" s="19">
        <f>IF(COUNTA(H118,J118:L118)=0,"",IF(COUNTA(H118,J118:L118)&lt;4,"Incomplete: fill all four labels",IF(AND(K118="Yes",J118="P3"),"Error: safety Yes can't be P3",IF(AND(K118="Yes",L118="Explain to customer (no repair needed)"),"Error: safety Yes needs a repair, not explain",IF(AND(I118&lt;&gt;"",I118=H118),"Error: alt_category is the same as category",IF(AND(J118="P1",K118="No"),"Check: P1 with safety No is only OK if the customer is stranded",IF(AND(L118="Stop driving + roadside assistance",K118="No"),"Check: roadside with safety No is only OK if stuck somewhere unsafe",IF(AND(H118="Other / Unclear",L118&lt;&gt;"Contact customer for more information"),"Check: unclear tickets usually need contact customer",IF(AND(L118="Explain to customer (no repair needed)",J118&lt;&gt;"P3"),"Check: no repair needed is usually P3","OK")))))))))</f>
        <v/>
      </c>
    </row>
    <row r="119" ht="15" customHeight="1" s="13">
      <c r="A119" s="19" t="n"/>
      <c r="B119" s="19" t="n"/>
      <c r="C119" s="19" t="n"/>
      <c r="D119" s="19" t="n"/>
      <c r="E119" s="19" t="n"/>
      <c r="F119" s="19" t="n"/>
      <c r="G119" s="19" t="n"/>
      <c r="H119" s="21" t="n"/>
      <c r="I119" s="21" t="n"/>
      <c r="J119" s="21" t="n"/>
      <c r="K119" s="21" t="n"/>
      <c r="L119" s="21" t="n"/>
      <c r="M119" s="21" t="n"/>
      <c r="N119" s="21" t="n"/>
      <c r="O119" s="19">
        <f>IF(COUNTA(H119,J119:L119)=0,"",IF(COUNTA(H119,J119:L119)&lt;4,"Incomplete: fill all four labels",IF(AND(K119="Yes",J119="P3"),"Error: safety Yes can't be P3",IF(AND(K119="Yes",L119="Explain to customer (no repair needed)"),"Error: safety Yes needs a repair, not explain",IF(AND(I119&lt;&gt;"",I119=H119),"Error: alt_category is the same as category",IF(AND(J119="P1",K119="No"),"Check: P1 with safety No is only OK if the customer is stranded",IF(AND(L119="Stop driving + roadside assistance",K119="No"),"Check: roadside with safety No is only OK if stuck somewhere unsafe",IF(AND(H119="Other / Unclear",L119&lt;&gt;"Contact customer for more information"),"Check: unclear tickets usually need contact customer",IF(AND(L119="Explain to customer (no repair needed)",J119&lt;&gt;"P3"),"Check: no repair needed is usually P3","OK")))))))))</f>
        <v/>
      </c>
    </row>
    <row r="120" ht="15" customHeight="1" s="13">
      <c r="A120" s="19" t="n"/>
      <c r="B120" s="19" t="n"/>
      <c r="C120" s="19" t="n"/>
      <c r="D120" s="19" t="n"/>
      <c r="E120" s="19" t="n"/>
      <c r="F120" s="19" t="n"/>
      <c r="G120" s="19" t="n"/>
      <c r="H120" s="21" t="n"/>
      <c r="I120" s="21" t="n"/>
      <c r="J120" s="21" t="n"/>
      <c r="K120" s="21" t="n"/>
      <c r="L120" s="21" t="n"/>
      <c r="M120" s="21" t="n"/>
      <c r="N120" s="21" t="n"/>
      <c r="O120" s="19">
        <f>IF(COUNTA(H120,J120:L120)=0,"",IF(COUNTA(H120,J120:L120)&lt;4,"Incomplete: fill all four labels",IF(AND(K120="Yes",J120="P3"),"Error: safety Yes can't be P3",IF(AND(K120="Yes",L120="Explain to customer (no repair needed)"),"Error: safety Yes needs a repair, not explain",IF(AND(I120&lt;&gt;"",I120=H120),"Error: alt_category is the same as category",IF(AND(J120="P1",K120="No"),"Check: P1 with safety No is only OK if the customer is stranded",IF(AND(L120="Stop driving + roadside assistance",K120="No"),"Check: roadside with safety No is only OK if stuck somewhere unsafe",IF(AND(H120="Other / Unclear",L120&lt;&gt;"Contact customer for more information"),"Check: unclear tickets usually need contact customer",IF(AND(L120="Explain to customer (no repair needed)",J120&lt;&gt;"P3"),"Check: no repair needed is usually P3","OK")))))))))</f>
        <v/>
      </c>
    </row>
    <row r="121" ht="15" customHeight="1" s="13">
      <c r="A121" s="19" t="n"/>
      <c r="B121" s="19" t="n"/>
      <c r="C121" s="19" t="n"/>
      <c r="D121" s="19" t="n"/>
      <c r="E121" s="19" t="n"/>
      <c r="F121" s="19" t="n"/>
      <c r="G121" s="19" t="n"/>
      <c r="H121" s="21" t="n"/>
      <c r="I121" s="21" t="n"/>
      <c r="J121" s="21" t="n"/>
      <c r="K121" s="21" t="n"/>
      <c r="L121" s="21" t="n"/>
      <c r="M121" s="21" t="n"/>
      <c r="N121" s="21" t="n"/>
      <c r="O121" s="19">
        <f>IF(COUNTA(H121,J121:L121)=0,"",IF(COUNTA(H121,J121:L121)&lt;4,"Incomplete: fill all four labels",IF(AND(K121="Yes",J121="P3"),"Error: safety Yes can't be P3",IF(AND(K121="Yes",L121="Explain to customer (no repair needed)"),"Error: safety Yes needs a repair, not explain",IF(AND(I121&lt;&gt;"",I121=H121),"Error: alt_category is the same as category",IF(AND(J121="P1",K121="No"),"Check: P1 with safety No is only OK if the customer is stranded",IF(AND(L121="Stop driving + roadside assistance",K121="No"),"Check: roadside with safety No is only OK if stuck somewhere unsafe",IF(AND(H121="Other / Unclear",L121&lt;&gt;"Contact customer for more information"),"Check: unclear tickets usually need contact customer",IF(AND(L121="Explain to customer (no repair needed)",J121&lt;&gt;"P3"),"Check: no repair needed is usually P3","OK")))))))))</f>
        <v/>
      </c>
    </row>
    <row r="122" ht="15" customHeight="1" s="13">
      <c r="A122" s="19" t="n"/>
      <c r="B122" s="19" t="n"/>
      <c r="C122" s="19" t="n"/>
      <c r="D122" s="19" t="n"/>
      <c r="E122" s="19" t="n"/>
      <c r="F122" s="19" t="n"/>
      <c r="G122" s="19" t="n"/>
      <c r="H122" s="21" t="n"/>
      <c r="I122" s="21" t="n"/>
      <c r="J122" s="21" t="n"/>
      <c r="K122" s="21" t="n"/>
      <c r="L122" s="21" t="n"/>
      <c r="M122" s="21" t="n"/>
      <c r="N122" s="21" t="n"/>
      <c r="O122" s="19">
        <f>IF(COUNTA(H122,J122:L122)=0,"",IF(COUNTA(H122,J122:L122)&lt;4,"Incomplete: fill all four labels",IF(AND(K122="Yes",J122="P3"),"Error: safety Yes can't be P3",IF(AND(K122="Yes",L122="Explain to customer (no repair needed)"),"Error: safety Yes needs a repair, not explain",IF(AND(I122&lt;&gt;"",I122=H122),"Error: alt_category is the same as category",IF(AND(J122="P1",K122="No"),"Check: P1 with safety No is only OK if the customer is stranded",IF(AND(L122="Stop driving + roadside assistance",K122="No"),"Check: roadside with safety No is only OK if stuck somewhere unsafe",IF(AND(H122="Other / Unclear",L122&lt;&gt;"Contact customer for more information"),"Check: unclear tickets usually need contact customer",IF(AND(L122="Explain to customer (no repair needed)",J122&lt;&gt;"P3"),"Check: no repair needed is usually P3","OK")))))))))</f>
        <v/>
      </c>
    </row>
    <row r="123" ht="15" customHeight="1" s="13">
      <c r="A123" s="19" t="n"/>
      <c r="B123" s="19" t="n"/>
      <c r="C123" s="19" t="n"/>
      <c r="D123" s="19" t="n"/>
      <c r="E123" s="19" t="n"/>
      <c r="F123" s="19" t="n"/>
      <c r="G123" s="19" t="n"/>
      <c r="H123" s="21" t="n"/>
      <c r="I123" s="21" t="n"/>
      <c r="J123" s="21" t="n"/>
      <c r="K123" s="21" t="n"/>
      <c r="L123" s="21" t="n"/>
      <c r="M123" s="21" t="n"/>
      <c r="N123" s="21" t="n"/>
      <c r="O123" s="19">
        <f>IF(COUNTA(H123,J123:L123)=0,"",IF(COUNTA(H123,J123:L123)&lt;4,"Incomplete: fill all four labels",IF(AND(K123="Yes",J123="P3"),"Error: safety Yes can't be P3",IF(AND(K123="Yes",L123="Explain to customer (no repair needed)"),"Error: safety Yes needs a repair, not explain",IF(AND(I123&lt;&gt;"",I123=H123),"Error: alt_category is the same as category",IF(AND(J123="P1",K123="No"),"Check: P1 with safety No is only OK if the customer is stranded",IF(AND(L123="Stop driving + roadside assistance",K123="No"),"Check: roadside with safety No is only OK if stuck somewhere unsafe",IF(AND(H123="Other / Unclear",L123&lt;&gt;"Contact customer for more information"),"Check: unclear tickets usually need contact customer",IF(AND(L123="Explain to customer (no repair needed)",J123&lt;&gt;"P3"),"Check: no repair needed is usually P3","OK")))))))))</f>
        <v/>
      </c>
    </row>
    <row r="124" ht="15" customHeight="1" s="13">
      <c r="A124" s="19" t="n"/>
      <c r="B124" s="19" t="n"/>
      <c r="C124" s="19" t="n"/>
      <c r="D124" s="19" t="n"/>
      <c r="E124" s="19" t="n"/>
      <c r="F124" s="19" t="n"/>
      <c r="G124" s="19" t="n"/>
      <c r="H124" s="21" t="n"/>
      <c r="I124" s="21" t="n"/>
      <c r="J124" s="21" t="n"/>
      <c r="K124" s="21" t="n"/>
      <c r="L124" s="21" t="n"/>
      <c r="M124" s="21" t="n"/>
      <c r="N124" s="21" t="n"/>
      <c r="O124" s="19">
        <f>IF(COUNTA(H124,J124:L124)=0,"",IF(COUNTA(H124,J124:L124)&lt;4,"Incomplete: fill all four labels",IF(AND(K124="Yes",J124="P3"),"Error: safety Yes can't be P3",IF(AND(K124="Yes",L124="Explain to customer (no repair needed)"),"Error: safety Yes needs a repair, not explain",IF(AND(I124&lt;&gt;"",I124=H124),"Error: alt_category is the same as category",IF(AND(J124="P1",K124="No"),"Check: P1 with safety No is only OK if the customer is stranded",IF(AND(L124="Stop driving + roadside assistance",K124="No"),"Check: roadside with safety No is only OK if stuck somewhere unsafe",IF(AND(H124="Other / Unclear",L124&lt;&gt;"Contact customer for more information"),"Check: unclear tickets usually need contact customer",IF(AND(L124="Explain to customer (no repair needed)",J124&lt;&gt;"P3"),"Check: no repair needed is usually P3","OK")))))))))</f>
        <v/>
      </c>
    </row>
    <row r="125" ht="15" customHeight="1" s="13">
      <c r="A125" s="19" t="n"/>
      <c r="B125" s="19" t="n"/>
      <c r="C125" s="19" t="n"/>
      <c r="D125" s="19" t="n"/>
      <c r="E125" s="19" t="n"/>
      <c r="F125" s="19" t="n"/>
      <c r="G125" s="19" t="n"/>
      <c r="H125" s="21" t="n"/>
      <c r="I125" s="21" t="n"/>
      <c r="J125" s="21" t="n"/>
      <c r="K125" s="21" t="n"/>
      <c r="L125" s="21" t="n"/>
      <c r="M125" s="21" t="n"/>
      <c r="N125" s="21" t="n"/>
      <c r="O125" s="19">
        <f>IF(COUNTA(H125,J125:L125)=0,"",IF(COUNTA(H125,J125:L125)&lt;4,"Incomplete: fill all four labels",IF(AND(K125="Yes",J125="P3"),"Error: safety Yes can't be P3",IF(AND(K125="Yes",L125="Explain to customer (no repair needed)"),"Error: safety Yes needs a repair, not explain",IF(AND(I125&lt;&gt;"",I125=H125),"Error: alt_category is the same as category",IF(AND(J125="P1",K125="No"),"Check: P1 with safety No is only OK if the customer is stranded",IF(AND(L125="Stop driving + roadside assistance",K125="No"),"Check: roadside with safety No is only OK if stuck somewhere unsafe",IF(AND(H125="Other / Unclear",L125&lt;&gt;"Contact customer for more information"),"Check: unclear tickets usually need contact customer",IF(AND(L125="Explain to customer (no repair needed)",J125&lt;&gt;"P3"),"Check: no repair needed is usually P3","OK")))))))))</f>
        <v/>
      </c>
    </row>
    <row r="126" ht="15" customHeight="1" s="13">
      <c r="A126" s="19" t="n"/>
      <c r="B126" s="19" t="n"/>
      <c r="C126" s="19" t="n"/>
      <c r="D126" s="19" t="n"/>
      <c r="E126" s="19" t="n"/>
      <c r="F126" s="19" t="n"/>
      <c r="G126" s="19" t="n"/>
      <c r="H126" s="21" t="n"/>
      <c r="I126" s="21" t="n"/>
      <c r="J126" s="21" t="n"/>
      <c r="K126" s="21" t="n"/>
      <c r="L126" s="21" t="n"/>
      <c r="M126" s="21" t="n"/>
      <c r="N126" s="21" t="n"/>
      <c r="O126" s="19">
        <f>IF(COUNTA(H126,J126:L126)=0,"",IF(COUNTA(H126,J126:L126)&lt;4,"Incomplete: fill all four labels",IF(AND(K126="Yes",J126="P3"),"Error: safety Yes can't be P3",IF(AND(K126="Yes",L126="Explain to customer (no repair needed)"),"Error: safety Yes needs a repair, not explain",IF(AND(I126&lt;&gt;"",I126=H126),"Error: alt_category is the same as category",IF(AND(J126="P1",K126="No"),"Check: P1 with safety No is only OK if the customer is stranded",IF(AND(L126="Stop driving + roadside assistance",K126="No"),"Check: roadside with safety No is only OK if stuck somewhere unsafe",IF(AND(H126="Other / Unclear",L126&lt;&gt;"Contact customer for more information"),"Check: unclear tickets usually need contact customer",IF(AND(L126="Explain to customer (no repair needed)",J126&lt;&gt;"P3"),"Check: no repair needed is usually P3","OK")))))))))</f>
        <v/>
      </c>
    </row>
    <row r="127" ht="15" customHeight="1" s="13">
      <c r="A127" s="19" t="n"/>
      <c r="B127" s="19" t="n"/>
      <c r="C127" s="19" t="n"/>
      <c r="D127" s="19" t="n"/>
      <c r="E127" s="19" t="n"/>
      <c r="F127" s="19" t="n"/>
      <c r="G127" s="19" t="n"/>
      <c r="H127" s="21" t="n"/>
      <c r="I127" s="21" t="n"/>
      <c r="J127" s="21" t="n"/>
      <c r="K127" s="21" t="n"/>
      <c r="L127" s="21" t="n"/>
      <c r="M127" s="21" t="n"/>
      <c r="N127" s="21" t="n"/>
      <c r="O127" s="19">
        <f>IF(COUNTA(H127,J127:L127)=0,"",IF(COUNTA(H127,J127:L127)&lt;4,"Incomplete: fill all four labels",IF(AND(K127="Yes",J127="P3"),"Error: safety Yes can't be P3",IF(AND(K127="Yes",L127="Explain to customer (no repair needed)"),"Error: safety Yes needs a repair, not explain",IF(AND(I127&lt;&gt;"",I127=H127),"Error: alt_category is the same as category",IF(AND(J127="P1",K127="No"),"Check: P1 with safety No is only OK if the customer is stranded",IF(AND(L127="Stop driving + roadside assistance",K127="No"),"Check: roadside with safety No is only OK if stuck somewhere unsafe",IF(AND(H127="Other / Unclear",L127&lt;&gt;"Contact customer for more information"),"Check: unclear tickets usually need contact customer",IF(AND(L127="Explain to customer (no repair needed)",J127&lt;&gt;"P3"),"Check: no repair needed is usually P3","OK")))))))))</f>
        <v/>
      </c>
    </row>
    <row r="128" ht="15" customHeight="1" s="13">
      <c r="A128" s="19" t="n"/>
      <c r="B128" s="19" t="n"/>
      <c r="C128" s="19" t="n"/>
      <c r="D128" s="19" t="n"/>
      <c r="E128" s="19" t="n"/>
      <c r="F128" s="19" t="n"/>
      <c r="G128" s="19" t="n"/>
      <c r="H128" s="21" t="n"/>
      <c r="I128" s="21" t="n"/>
      <c r="J128" s="21" t="n"/>
      <c r="K128" s="21" t="n"/>
      <c r="L128" s="21" t="n"/>
      <c r="M128" s="21" t="n"/>
      <c r="N128" s="21" t="n"/>
      <c r="O128" s="19">
        <f>IF(COUNTA(H128,J128:L128)=0,"",IF(COUNTA(H128,J128:L128)&lt;4,"Incomplete: fill all four labels",IF(AND(K128="Yes",J128="P3"),"Error: safety Yes can't be P3",IF(AND(K128="Yes",L128="Explain to customer (no repair needed)"),"Error: safety Yes needs a repair, not explain",IF(AND(I128&lt;&gt;"",I128=H128),"Error: alt_category is the same as category",IF(AND(J128="P1",K128="No"),"Check: P1 with safety No is only OK if the customer is stranded",IF(AND(L128="Stop driving + roadside assistance",K128="No"),"Check: roadside with safety No is only OK if stuck somewhere unsafe",IF(AND(H128="Other / Unclear",L128&lt;&gt;"Contact customer for more information"),"Check: unclear tickets usually need contact customer",IF(AND(L128="Explain to customer (no repair needed)",J128&lt;&gt;"P3"),"Check: no repair needed is usually P3","OK")))))))))</f>
        <v/>
      </c>
    </row>
    <row r="129" ht="15" customHeight="1" s="13">
      <c r="A129" s="19" t="n"/>
      <c r="B129" s="19" t="n"/>
      <c r="C129" s="19" t="n"/>
      <c r="D129" s="19" t="n"/>
      <c r="E129" s="19" t="n"/>
      <c r="F129" s="19" t="n"/>
      <c r="G129" s="19" t="n"/>
      <c r="H129" s="21" t="n"/>
      <c r="I129" s="21" t="n"/>
      <c r="J129" s="21" t="n"/>
      <c r="K129" s="21" t="n"/>
      <c r="L129" s="21" t="n"/>
      <c r="M129" s="21" t="n"/>
      <c r="N129" s="21" t="n"/>
      <c r="O129" s="19">
        <f>IF(COUNTA(H129,J129:L129)=0,"",IF(COUNTA(H129,J129:L129)&lt;4,"Incomplete: fill all four labels",IF(AND(K129="Yes",J129="P3"),"Error: safety Yes can't be P3",IF(AND(K129="Yes",L129="Explain to customer (no repair needed)"),"Error: safety Yes needs a repair, not explain",IF(AND(I129&lt;&gt;"",I129=H129),"Error: alt_category is the same as category",IF(AND(J129="P1",K129="No"),"Check: P1 with safety No is only OK if the customer is stranded",IF(AND(L129="Stop driving + roadside assistance",K129="No"),"Check: roadside with safety No is only OK if stuck somewhere unsafe",IF(AND(H129="Other / Unclear",L129&lt;&gt;"Contact customer for more information"),"Check: unclear tickets usually need contact customer",IF(AND(L129="Explain to customer (no repair needed)",J129&lt;&gt;"P3"),"Check: no repair needed is usually P3","OK")))))))))</f>
        <v/>
      </c>
    </row>
    <row r="130" ht="15" customHeight="1" s="13">
      <c r="A130" s="19" t="n"/>
      <c r="B130" s="19" t="n"/>
      <c r="C130" s="19" t="n"/>
      <c r="D130" s="19" t="n"/>
      <c r="E130" s="19" t="n"/>
      <c r="F130" s="19" t="n"/>
      <c r="G130" s="19" t="n"/>
      <c r="H130" s="21" t="n"/>
      <c r="I130" s="21" t="n"/>
      <c r="J130" s="21" t="n"/>
      <c r="K130" s="21" t="n"/>
      <c r="L130" s="21" t="n"/>
      <c r="M130" s="21" t="n"/>
      <c r="N130" s="21" t="n"/>
      <c r="O130" s="19">
        <f>IF(COUNTA(H130,J130:L130)=0,"",IF(COUNTA(H130,J130:L130)&lt;4,"Incomplete: fill all four labels",IF(AND(K130="Yes",J130="P3"),"Error: safety Yes can't be P3",IF(AND(K130="Yes",L130="Explain to customer (no repair needed)"),"Error: safety Yes needs a repair, not explain",IF(AND(I130&lt;&gt;"",I130=H130),"Error: alt_category is the same as category",IF(AND(J130="P1",K130="No"),"Check: P1 with safety No is only OK if the customer is stranded",IF(AND(L130="Stop driving + roadside assistance",K130="No"),"Check: roadside with safety No is only OK if stuck somewhere unsafe",IF(AND(H130="Other / Unclear",L130&lt;&gt;"Contact customer for more information"),"Check: unclear tickets usually need contact customer",IF(AND(L130="Explain to customer (no repair needed)",J130&lt;&gt;"P3"),"Check: no repair needed is usually P3","OK")))))))))</f>
        <v/>
      </c>
    </row>
    <row r="131" ht="15" customHeight="1" s="13">
      <c r="A131" s="19" t="n"/>
      <c r="B131" s="19" t="n"/>
      <c r="C131" s="19" t="n"/>
      <c r="D131" s="19" t="n"/>
      <c r="E131" s="19" t="n"/>
      <c r="F131" s="19" t="n"/>
      <c r="G131" s="19" t="n"/>
      <c r="H131" s="21" t="n"/>
      <c r="I131" s="21" t="n"/>
      <c r="J131" s="21" t="n"/>
      <c r="K131" s="21" t="n"/>
      <c r="L131" s="21" t="n"/>
      <c r="M131" s="21" t="n"/>
      <c r="N131" s="21" t="n"/>
      <c r="O131" s="19">
        <f>IF(COUNTA(H131,J131:L131)=0,"",IF(COUNTA(H131,J131:L131)&lt;4,"Incomplete: fill all four labels",IF(AND(K131="Yes",J131="P3"),"Error: safety Yes can't be P3",IF(AND(K131="Yes",L131="Explain to customer (no repair needed)"),"Error: safety Yes needs a repair, not explain",IF(AND(I131&lt;&gt;"",I131=H131),"Error: alt_category is the same as category",IF(AND(J131="P1",K131="No"),"Check: P1 with safety No is only OK if the customer is stranded",IF(AND(L131="Stop driving + roadside assistance",K131="No"),"Check: roadside with safety No is only OK if stuck somewhere unsafe",IF(AND(H131="Other / Unclear",L131&lt;&gt;"Contact customer for more information"),"Check: unclear tickets usually need contact customer",IF(AND(L131="Explain to customer (no repair needed)",J131&lt;&gt;"P3"),"Check: no repair needed is usually P3","OK")))))))))</f>
        <v/>
      </c>
    </row>
    <row r="132" ht="15" customHeight="1" s="13">
      <c r="A132" s="19" t="n"/>
      <c r="B132" s="19" t="n"/>
      <c r="C132" s="19" t="n"/>
      <c r="D132" s="19" t="n"/>
      <c r="E132" s="19" t="n"/>
      <c r="F132" s="19" t="n"/>
      <c r="G132" s="19" t="n"/>
      <c r="H132" s="21" t="n"/>
      <c r="I132" s="21" t="n"/>
      <c r="J132" s="21" t="n"/>
      <c r="K132" s="21" t="n"/>
      <c r="L132" s="21" t="n"/>
      <c r="M132" s="21" t="n"/>
      <c r="N132" s="21" t="n"/>
      <c r="O132" s="19">
        <f>IF(COUNTA(H132,J132:L132)=0,"",IF(COUNTA(H132,J132:L132)&lt;4,"Incomplete: fill all four labels",IF(AND(K132="Yes",J132="P3"),"Error: safety Yes can't be P3",IF(AND(K132="Yes",L132="Explain to customer (no repair needed)"),"Error: safety Yes needs a repair, not explain",IF(AND(I132&lt;&gt;"",I132=H132),"Error: alt_category is the same as category",IF(AND(J132="P1",K132="No"),"Check: P1 with safety No is only OK if the customer is stranded",IF(AND(L132="Stop driving + roadside assistance",K132="No"),"Check: roadside with safety No is only OK if stuck somewhere unsafe",IF(AND(H132="Other / Unclear",L132&lt;&gt;"Contact customer for more information"),"Check: unclear tickets usually need contact customer",IF(AND(L132="Explain to customer (no repair needed)",J132&lt;&gt;"P3"),"Check: no repair needed is usually P3","OK")))))))))</f>
        <v/>
      </c>
    </row>
    <row r="133" ht="15" customHeight="1" s="13">
      <c r="A133" s="19" t="n"/>
      <c r="B133" s="19" t="n"/>
      <c r="C133" s="19" t="n"/>
      <c r="D133" s="19" t="n"/>
      <c r="E133" s="19" t="n"/>
      <c r="F133" s="19" t="n"/>
      <c r="G133" s="19" t="n"/>
      <c r="H133" s="21" t="n"/>
      <c r="I133" s="21" t="n"/>
      <c r="J133" s="21" t="n"/>
      <c r="K133" s="21" t="n"/>
      <c r="L133" s="21" t="n"/>
      <c r="M133" s="21" t="n"/>
      <c r="N133" s="21" t="n"/>
      <c r="O133" s="19">
        <f>IF(COUNTA(H133,J133:L133)=0,"",IF(COUNTA(H133,J133:L133)&lt;4,"Incomplete: fill all four labels",IF(AND(K133="Yes",J133="P3"),"Error: safety Yes can't be P3",IF(AND(K133="Yes",L133="Explain to customer (no repair needed)"),"Error: safety Yes needs a repair, not explain",IF(AND(I133&lt;&gt;"",I133=H133),"Error: alt_category is the same as category",IF(AND(J133="P1",K133="No"),"Check: P1 with safety No is only OK if the customer is stranded",IF(AND(L133="Stop driving + roadside assistance",K133="No"),"Check: roadside with safety No is only OK if stuck somewhere unsafe",IF(AND(H133="Other / Unclear",L133&lt;&gt;"Contact customer for more information"),"Check: unclear tickets usually need contact customer",IF(AND(L133="Explain to customer (no repair needed)",J133&lt;&gt;"P3"),"Check: no repair needed is usually P3","OK")))))))))</f>
        <v/>
      </c>
    </row>
    <row r="134" ht="15" customHeight="1" s="13">
      <c r="A134" s="19" t="n"/>
      <c r="B134" s="19" t="n"/>
      <c r="C134" s="19" t="n"/>
      <c r="D134" s="19" t="n"/>
      <c r="E134" s="19" t="n"/>
      <c r="F134" s="19" t="n"/>
      <c r="G134" s="19" t="n"/>
      <c r="H134" s="21" t="n"/>
      <c r="I134" s="21" t="n"/>
      <c r="J134" s="21" t="n"/>
      <c r="K134" s="21" t="n"/>
      <c r="L134" s="21" t="n"/>
      <c r="M134" s="21" t="n"/>
      <c r="N134" s="21" t="n"/>
      <c r="O134" s="19">
        <f>IF(COUNTA(H134,J134:L134)=0,"",IF(COUNTA(H134,J134:L134)&lt;4,"Incomplete: fill all four labels",IF(AND(K134="Yes",J134="P3"),"Error: safety Yes can't be P3",IF(AND(K134="Yes",L134="Explain to customer (no repair needed)"),"Error: safety Yes needs a repair, not explain",IF(AND(I134&lt;&gt;"",I134=H134),"Error: alt_category is the same as category",IF(AND(J134="P1",K134="No"),"Check: P1 with safety No is only OK if the customer is stranded",IF(AND(L134="Stop driving + roadside assistance",K134="No"),"Check: roadside with safety No is only OK if stuck somewhere unsafe",IF(AND(H134="Other / Unclear",L134&lt;&gt;"Contact customer for more information"),"Check: unclear tickets usually need contact customer",IF(AND(L134="Explain to customer (no repair needed)",J134&lt;&gt;"P3"),"Check: no repair needed is usually P3","OK")))))))))</f>
        <v/>
      </c>
    </row>
    <row r="135" ht="15" customHeight="1" s="13">
      <c r="A135" s="19" t="n"/>
      <c r="B135" s="19" t="n"/>
      <c r="C135" s="19" t="n"/>
      <c r="D135" s="19" t="n"/>
      <c r="E135" s="19" t="n"/>
      <c r="F135" s="19" t="n"/>
      <c r="G135" s="19" t="n"/>
      <c r="H135" s="21" t="n"/>
      <c r="I135" s="21" t="n"/>
      <c r="J135" s="21" t="n"/>
      <c r="K135" s="21" t="n"/>
      <c r="L135" s="21" t="n"/>
      <c r="M135" s="21" t="n"/>
      <c r="N135" s="21" t="n"/>
      <c r="O135" s="19">
        <f>IF(COUNTA(H135,J135:L135)=0,"",IF(COUNTA(H135,J135:L135)&lt;4,"Incomplete: fill all four labels",IF(AND(K135="Yes",J135="P3"),"Error: safety Yes can't be P3",IF(AND(K135="Yes",L135="Explain to customer (no repair needed)"),"Error: safety Yes needs a repair, not explain",IF(AND(I135&lt;&gt;"",I135=H135),"Error: alt_category is the same as category",IF(AND(J135="P1",K135="No"),"Check: P1 with safety No is only OK if the customer is stranded",IF(AND(L135="Stop driving + roadside assistance",K135="No"),"Check: roadside with safety No is only OK if stuck somewhere unsafe",IF(AND(H135="Other / Unclear",L135&lt;&gt;"Contact customer for more information"),"Check: unclear tickets usually need contact customer",IF(AND(L135="Explain to customer (no repair needed)",J135&lt;&gt;"P3"),"Check: no repair needed is usually P3","OK")))))))))</f>
        <v/>
      </c>
    </row>
    <row r="136" ht="15" customHeight="1" s="13">
      <c r="A136" s="19" t="n"/>
      <c r="B136" s="19" t="n"/>
      <c r="C136" s="19" t="n"/>
      <c r="D136" s="19" t="n"/>
      <c r="E136" s="19" t="n"/>
      <c r="F136" s="19" t="n"/>
      <c r="G136" s="19" t="n"/>
      <c r="H136" s="21" t="n"/>
      <c r="I136" s="21" t="n"/>
      <c r="J136" s="21" t="n"/>
      <c r="K136" s="21" t="n"/>
      <c r="L136" s="21" t="n"/>
      <c r="M136" s="21" t="n"/>
      <c r="N136" s="21" t="n"/>
      <c r="O136" s="19">
        <f>IF(COUNTA(H136,J136:L136)=0,"",IF(COUNTA(H136,J136:L136)&lt;4,"Incomplete: fill all four labels",IF(AND(K136="Yes",J136="P3"),"Error: safety Yes can't be P3",IF(AND(K136="Yes",L136="Explain to customer (no repair needed)"),"Error: safety Yes needs a repair, not explain",IF(AND(I136&lt;&gt;"",I136=H136),"Error: alt_category is the same as category",IF(AND(J136="P1",K136="No"),"Check: P1 with safety No is only OK if the customer is stranded",IF(AND(L136="Stop driving + roadside assistance",K136="No"),"Check: roadside with safety No is only OK if stuck somewhere unsafe",IF(AND(H136="Other / Unclear",L136&lt;&gt;"Contact customer for more information"),"Check: unclear tickets usually need contact customer",IF(AND(L136="Explain to customer (no repair needed)",J136&lt;&gt;"P3"),"Check: no repair needed is usually P3","OK")))))))))</f>
        <v/>
      </c>
    </row>
    <row r="137" ht="15" customHeight="1" s="13">
      <c r="A137" s="19" t="n"/>
      <c r="B137" s="19" t="n"/>
      <c r="C137" s="19" t="n"/>
      <c r="D137" s="19" t="n"/>
      <c r="E137" s="19" t="n"/>
      <c r="F137" s="19" t="n"/>
      <c r="G137" s="19" t="n"/>
      <c r="H137" s="21" t="n"/>
      <c r="I137" s="21" t="n"/>
      <c r="J137" s="21" t="n"/>
      <c r="K137" s="21" t="n"/>
      <c r="L137" s="21" t="n"/>
      <c r="M137" s="21" t="n"/>
      <c r="N137" s="21" t="n"/>
      <c r="O137" s="19">
        <f>IF(COUNTA(H137,J137:L137)=0,"",IF(COUNTA(H137,J137:L137)&lt;4,"Incomplete: fill all four labels",IF(AND(K137="Yes",J137="P3"),"Error: safety Yes can't be P3",IF(AND(K137="Yes",L137="Explain to customer (no repair needed)"),"Error: safety Yes needs a repair, not explain",IF(AND(I137&lt;&gt;"",I137=H137),"Error: alt_category is the same as category",IF(AND(J137="P1",K137="No"),"Check: P1 with safety No is only OK if the customer is stranded",IF(AND(L137="Stop driving + roadside assistance",K137="No"),"Check: roadside with safety No is only OK if stuck somewhere unsafe",IF(AND(H137="Other / Unclear",L137&lt;&gt;"Contact customer for more information"),"Check: unclear tickets usually need contact customer",IF(AND(L137="Explain to customer (no repair needed)",J137&lt;&gt;"P3"),"Check: no repair needed is usually P3","OK")))))))))</f>
        <v/>
      </c>
    </row>
    <row r="138" ht="15" customHeight="1" s="13">
      <c r="A138" s="19" t="n"/>
      <c r="B138" s="19" t="n"/>
      <c r="C138" s="19" t="n"/>
      <c r="D138" s="19" t="n"/>
      <c r="E138" s="19" t="n"/>
      <c r="F138" s="19" t="n"/>
      <c r="G138" s="19" t="n"/>
      <c r="H138" s="21" t="n"/>
      <c r="I138" s="21" t="n"/>
      <c r="J138" s="21" t="n"/>
      <c r="K138" s="21" t="n"/>
      <c r="L138" s="21" t="n"/>
      <c r="M138" s="21" t="n"/>
      <c r="N138" s="21" t="n"/>
      <c r="O138" s="19">
        <f>IF(COUNTA(H138,J138:L138)=0,"",IF(COUNTA(H138,J138:L138)&lt;4,"Incomplete: fill all four labels",IF(AND(K138="Yes",J138="P3"),"Error: safety Yes can't be P3",IF(AND(K138="Yes",L138="Explain to customer (no repair needed)"),"Error: safety Yes needs a repair, not explain",IF(AND(I138&lt;&gt;"",I138=H138),"Error: alt_category is the same as category",IF(AND(J138="P1",K138="No"),"Check: P1 with safety No is only OK if the customer is stranded",IF(AND(L138="Stop driving + roadside assistance",K138="No"),"Check: roadside with safety No is only OK if stuck somewhere unsafe",IF(AND(H138="Other / Unclear",L138&lt;&gt;"Contact customer for more information"),"Check: unclear tickets usually need contact customer",IF(AND(L138="Explain to customer (no repair needed)",J138&lt;&gt;"P3"),"Check: no repair needed is usually P3","OK")))))))))</f>
        <v/>
      </c>
    </row>
    <row r="139" ht="15" customHeight="1" s="13">
      <c r="A139" s="19" t="n"/>
      <c r="B139" s="19" t="n"/>
      <c r="C139" s="19" t="n"/>
      <c r="D139" s="19" t="n"/>
      <c r="E139" s="19" t="n"/>
      <c r="F139" s="19" t="n"/>
      <c r="G139" s="19" t="n"/>
      <c r="H139" s="21" t="n"/>
      <c r="I139" s="21" t="n"/>
      <c r="J139" s="21" t="n"/>
      <c r="K139" s="21" t="n"/>
      <c r="L139" s="21" t="n"/>
      <c r="M139" s="21" t="n"/>
      <c r="N139" s="21" t="n"/>
      <c r="O139" s="19">
        <f>IF(COUNTA(H139,J139:L139)=0,"",IF(COUNTA(H139,J139:L139)&lt;4,"Incomplete: fill all four labels",IF(AND(K139="Yes",J139="P3"),"Error: safety Yes can't be P3",IF(AND(K139="Yes",L139="Explain to customer (no repair needed)"),"Error: safety Yes needs a repair, not explain",IF(AND(I139&lt;&gt;"",I139=H139),"Error: alt_category is the same as category",IF(AND(J139="P1",K139="No"),"Check: P1 with safety No is only OK if the customer is stranded",IF(AND(L139="Stop driving + roadside assistance",K139="No"),"Check: roadside with safety No is only OK if stuck somewhere unsafe",IF(AND(H139="Other / Unclear",L139&lt;&gt;"Contact customer for more information"),"Check: unclear tickets usually need contact customer",IF(AND(L139="Explain to customer (no repair needed)",J139&lt;&gt;"P3"),"Check: no repair needed is usually P3","OK")))))))))</f>
        <v/>
      </c>
    </row>
    <row r="140" ht="15" customHeight="1" s="13">
      <c r="A140" s="19" t="n"/>
      <c r="B140" s="19" t="n"/>
      <c r="C140" s="19" t="n"/>
      <c r="D140" s="19" t="n"/>
      <c r="E140" s="19" t="n"/>
      <c r="F140" s="19" t="n"/>
      <c r="G140" s="19" t="n"/>
      <c r="H140" s="21" t="n"/>
      <c r="I140" s="21" t="n"/>
      <c r="J140" s="21" t="n"/>
      <c r="K140" s="21" t="n"/>
      <c r="L140" s="21" t="n"/>
      <c r="M140" s="21" t="n"/>
      <c r="N140" s="21" t="n"/>
      <c r="O140" s="19">
        <f>IF(COUNTA(H140,J140:L140)=0,"",IF(COUNTA(H140,J140:L140)&lt;4,"Incomplete: fill all four labels",IF(AND(K140="Yes",J140="P3"),"Error: safety Yes can't be P3",IF(AND(K140="Yes",L140="Explain to customer (no repair needed)"),"Error: safety Yes needs a repair, not explain",IF(AND(I140&lt;&gt;"",I140=H140),"Error: alt_category is the same as category",IF(AND(J140="P1",K140="No"),"Check: P1 with safety No is only OK if the customer is stranded",IF(AND(L140="Stop driving + roadside assistance",K140="No"),"Check: roadside with safety No is only OK if stuck somewhere unsafe",IF(AND(H140="Other / Unclear",L140&lt;&gt;"Contact customer for more information"),"Check: unclear tickets usually need contact customer",IF(AND(L140="Explain to customer (no repair needed)",J140&lt;&gt;"P3"),"Check: no repair needed is usually P3","OK")))))))))</f>
        <v/>
      </c>
    </row>
    <row r="141" ht="15" customHeight="1" s="13">
      <c r="A141" s="19" t="n"/>
      <c r="B141" s="19" t="n"/>
      <c r="C141" s="19" t="n"/>
      <c r="D141" s="19" t="n"/>
      <c r="E141" s="19" t="n"/>
      <c r="F141" s="19" t="n"/>
      <c r="G141" s="19" t="n"/>
      <c r="H141" s="21" t="n"/>
      <c r="I141" s="21" t="n"/>
      <c r="J141" s="21" t="n"/>
      <c r="K141" s="21" t="n"/>
      <c r="L141" s="21" t="n"/>
      <c r="M141" s="21" t="n"/>
      <c r="N141" s="21" t="n"/>
      <c r="O141" s="19">
        <f>IF(COUNTA(H141,J141:L141)=0,"",IF(COUNTA(H141,J141:L141)&lt;4,"Incomplete: fill all four labels",IF(AND(K141="Yes",J141="P3"),"Error: safety Yes can't be P3",IF(AND(K141="Yes",L141="Explain to customer (no repair needed)"),"Error: safety Yes needs a repair, not explain",IF(AND(I141&lt;&gt;"",I141=H141),"Error: alt_category is the same as category",IF(AND(J141="P1",K141="No"),"Check: P1 with safety No is only OK if the customer is stranded",IF(AND(L141="Stop driving + roadside assistance",K141="No"),"Check: roadside with safety No is only OK if stuck somewhere unsafe",IF(AND(H141="Other / Unclear",L141&lt;&gt;"Contact customer for more information"),"Check: unclear tickets usually need contact customer",IF(AND(L141="Explain to customer (no repair needed)",J141&lt;&gt;"P3"),"Check: no repair needed is usually P3","OK")))))))))</f>
        <v/>
      </c>
    </row>
    <row r="142" ht="15" customHeight="1" s="13">
      <c r="A142" s="19" t="n"/>
      <c r="B142" s="19" t="n"/>
      <c r="C142" s="19" t="n"/>
      <c r="D142" s="19" t="n"/>
      <c r="E142" s="19" t="n"/>
      <c r="F142" s="19" t="n"/>
      <c r="G142" s="19" t="n"/>
      <c r="H142" s="21" t="n"/>
      <c r="I142" s="21" t="n"/>
      <c r="J142" s="21" t="n"/>
      <c r="K142" s="21" t="n"/>
      <c r="L142" s="21" t="n"/>
      <c r="M142" s="21" t="n"/>
      <c r="N142" s="21" t="n"/>
      <c r="O142" s="19">
        <f>IF(COUNTA(H142,J142:L142)=0,"",IF(COUNTA(H142,J142:L142)&lt;4,"Incomplete: fill all four labels",IF(AND(K142="Yes",J142="P3"),"Error: safety Yes can't be P3",IF(AND(K142="Yes",L142="Explain to customer (no repair needed)"),"Error: safety Yes needs a repair, not explain",IF(AND(I142&lt;&gt;"",I142=H142),"Error: alt_category is the same as category",IF(AND(J142="P1",K142="No"),"Check: P1 with safety No is only OK if the customer is stranded",IF(AND(L142="Stop driving + roadside assistance",K142="No"),"Check: roadside with safety No is only OK if stuck somewhere unsafe",IF(AND(H142="Other / Unclear",L142&lt;&gt;"Contact customer for more information"),"Check: unclear tickets usually need contact customer",IF(AND(L142="Explain to customer (no repair needed)",J142&lt;&gt;"P3"),"Check: no repair needed is usually P3","OK")))))))))</f>
        <v/>
      </c>
    </row>
    <row r="143" ht="15" customHeight="1" s="13">
      <c r="A143" s="19" t="n"/>
      <c r="B143" s="19" t="n"/>
      <c r="C143" s="19" t="n"/>
      <c r="D143" s="19" t="n"/>
      <c r="E143" s="19" t="n"/>
      <c r="F143" s="19" t="n"/>
      <c r="G143" s="19" t="n"/>
      <c r="H143" s="21" t="n"/>
      <c r="I143" s="21" t="n"/>
      <c r="J143" s="21" t="n"/>
      <c r="K143" s="21" t="n"/>
      <c r="L143" s="21" t="n"/>
      <c r="M143" s="21" t="n"/>
      <c r="N143" s="21" t="n"/>
      <c r="O143" s="19">
        <f>IF(COUNTA(H143,J143:L143)=0,"",IF(COUNTA(H143,J143:L143)&lt;4,"Incomplete: fill all four labels",IF(AND(K143="Yes",J143="P3"),"Error: safety Yes can't be P3",IF(AND(K143="Yes",L143="Explain to customer (no repair needed)"),"Error: safety Yes needs a repair, not explain",IF(AND(I143&lt;&gt;"",I143=H143),"Error: alt_category is the same as category",IF(AND(J143="P1",K143="No"),"Check: P1 with safety No is only OK if the customer is stranded",IF(AND(L143="Stop driving + roadside assistance",K143="No"),"Check: roadside with safety No is only OK if stuck somewhere unsafe",IF(AND(H143="Other / Unclear",L143&lt;&gt;"Contact customer for more information"),"Check: unclear tickets usually need contact customer",IF(AND(L143="Explain to customer (no repair needed)",J143&lt;&gt;"P3"),"Check: no repair needed is usually P3","OK")))))))))</f>
        <v/>
      </c>
    </row>
    <row r="144" ht="15" customHeight="1" s="13">
      <c r="A144" s="19" t="n"/>
      <c r="B144" s="19" t="n"/>
      <c r="C144" s="19" t="n"/>
      <c r="D144" s="19" t="n"/>
      <c r="E144" s="19" t="n"/>
      <c r="F144" s="19" t="n"/>
      <c r="G144" s="19" t="n"/>
      <c r="H144" s="21" t="n"/>
      <c r="I144" s="21" t="n"/>
      <c r="J144" s="21" t="n"/>
      <c r="K144" s="21" t="n"/>
      <c r="L144" s="21" t="n"/>
      <c r="M144" s="21" t="n"/>
      <c r="N144" s="21" t="n"/>
      <c r="O144" s="19">
        <f>IF(COUNTA(H144,J144:L144)=0,"",IF(COUNTA(H144,J144:L144)&lt;4,"Incomplete: fill all four labels",IF(AND(K144="Yes",J144="P3"),"Error: safety Yes can't be P3",IF(AND(K144="Yes",L144="Explain to customer (no repair needed)"),"Error: safety Yes needs a repair, not explain",IF(AND(I144&lt;&gt;"",I144=H144),"Error: alt_category is the same as category",IF(AND(J144="P1",K144="No"),"Check: P1 with safety No is only OK if the customer is stranded",IF(AND(L144="Stop driving + roadside assistance",K144="No"),"Check: roadside with safety No is only OK if stuck somewhere unsafe",IF(AND(H144="Other / Unclear",L144&lt;&gt;"Contact customer for more information"),"Check: unclear tickets usually need contact customer",IF(AND(L144="Explain to customer (no repair needed)",J144&lt;&gt;"P3"),"Check: no repair needed is usually P3","OK")))))))))</f>
        <v/>
      </c>
    </row>
    <row r="145" ht="15" customHeight="1" s="13">
      <c r="A145" s="19" t="n"/>
      <c r="B145" s="19" t="n"/>
      <c r="C145" s="19" t="n"/>
      <c r="D145" s="19" t="n"/>
      <c r="E145" s="19" t="n"/>
      <c r="F145" s="19" t="n"/>
      <c r="G145" s="19" t="n"/>
      <c r="H145" s="21" t="n"/>
      <c r="I145" s="21" t="n"/>
      <c r="J145" s="21" t="n"/>
      <c r="K145" s="21" t="n"/>
      <c r="L145" s="21" t="n"/>
      <c r="M145" s="21" t="n"/>
      <c r="N145" s="21" t="n"/>
      <c r="O145" s="19">
        <f>IF(COUNTA(H145,J145:L145)=0,"",IF(COUNTA(H145,J145:L145)&lt;4,"Incomplete: fill all four labels",IF(AND(K145="Yes",J145="P3"),"Error: safety Yes can't be P3",IF(AND(K145="Yes",L145="Explain to customer (no repair needed)"),"Error: safety Yes needs a repair, not explain",IF(AND(I145&lt;&gt;"",I145=H145),"Error: alt_category is the same as category",IF(AND(J145="P1",K145="No"),"Check: P1 with safety No is only OK if the customer is stranded",IF(AND(L145="Stop driving + roadside assistance",K145="No"),"Check: roadside with safety No is only OK if stuck somewhere unsafe",IF(AND(H145="Other / Unclear",L145&lt;&gt;"Contact customer for more information"),"Check: unclear tickets usually need contact customer",IF(AND(L145="Explain to customer (no repair needed)",J145&lt;&gt;"P3"),"Check: no repair needed is usually P3","OK")))))))))</f>
        <v/>
      </c>
    </row>
    <row r="146" ht="15" customHeight="1" s="13">
      <c r="A146" s="19" t="n"/>
      <c r="B146" s="19" t="n"/>
      <c r="C146" s="19" t="n"/>
      <c r="D146" s="19" t="n"/>
      <c r="E146" s="19" t="n"/>
      <c r="F146" s="19" t="n"/>
      <c r="G146" s="19" t="n"/>
      <c r="H146" s="21" t="n"/>
      <c r="I146" s="21" t="n"/>
      <c r="J146" s="21" t="n"/>
      <c r="K146" s="21" t="n"/>
      <c r="L146" s="21" t="n"/>
      <c r="M146" s="21" t="n"/>
      <c r="N146" s="21" t="n"/>
      <c r="O146" s="19">
        <f>IF(COUNTA(H146,J146:L146)=0,"",IF(COUNTA(H146,J146:L146)&lt;4,"Incomplete: fill all four labels",IF(AND(K146="Yes",J146="P3"),"Error: safety Yes can't be P3",IF(AND(K146="Yes",L146="Explain to customer (no repair needed)"),"Error: safety Yes needs a repair, not explain",IF(AND(I146&lt;&gt;"",I146=H146),"Error: alt_category is the same as category",IF(AND(J146="P1",K146="No"),"Check: P1 with safety No is only OK if the customer is stranded",IF(AND(L146="Stop driving + roadside assistance",K146="No"),"Check: roadside with safety No is only OK if stuck somewhere unsafe",IF(AND(H146="Other / Unclear",L146&lt;&gt;"Contact customer for more information"),"Check: unclear tickets usually need contact customer",IF(AND(L146="Explain to customer (no repair needed)",J146&lt;&gt;"P3"),"Check: no repair needed is usually P3","OK")))))))))</f>
        <v/>
      </c>
    </row>
    <row r="147" ht="15" customHeight="1" s="13">
      <c r="A147" s="19" t="n"/>
      <c r="B147" s="19" t="n"/>
      <c r="C147" s="19" t="n"/>
      <c r="D147" s="19" t="n"/>
      <c r="E147" s="19" t="n"/>
      <c r="F147" s="19" t="n"/>
      <c r="G147" s="19" t="n"/>
      <c r="H147" s="21" t="n"/>
      <c r="I147" s="21" t="n"/>
      <c r="J147" s="21" t="n"/>
      <c r="K147" s="21" t="n"/>
      <c r="L147" s="21" t="n"/>
      <c r="M147" s="21" t="n"/>
      <c r="N147" s="21" t="n"/>
      <c r="O147" s="19">
        <f>IF(COUNTA(H147,J147:L147)=0,"",IF(COUNTA(H147,J147:L147)&lt;4,"Incomplete: fill all four labels",IF(AND(K147="Yes",J147="P3"),"Error: safety Yes can't be P3",IF(AND(K147="Yes",L147="Explain to customer (no repair needed)"),"Error: safety Yes needs a repair, not explain",IF(AND(I147&lt;&gt;"",I147=H147),"Error: alt_category is the same as category",IF(AND(J147="P1",K147="No"),"Check: P1 with safety No is only OK if the customer is stranded",IF(AND(L147="Stop driving + roadside assistance",K147="No"),"Check: roadside with safety No is only OK if stuck somewhere unsafe",IF(AND(H147="Other / Unclear",L147&lt;&gt;"Contact customer for more information"),"Check: unclear tickets usually need contact customer",IF(AND(L147="Explain to customer (no repair needed)",J147&lt;&gt;"P3"),"Check: no repair needed is usually P3","OK")))))))))</f>
        <v/>
      </c>
    </row>
    <row r="148" ht="15" customHeight="1" s="13">
      <c r="A148" s="19" t="n"/>
      <c r="B148" s="19" t="n"/>
      <c r="C148" s="19" t="n"/>
      <c r="D148" s="19" t="n"/>
      <c r="E148" s="19" t="n"/>
      <c r="F148" s="19" t="n"/>
      <c r="G148" s="19" t="n"/>
      <c r="H148" s="21" t="n"/>
      <c r="I148" s="21" t="n"/>
      <c r="J148" s="21" t="n"/>
      <c r="K148" s="21" t="n"/>
      <c r="L148" s="21" t="n"/>
      <c r="M148" s="21" t="n"/>
      <c r="N148" s="21" t="n"/>
      <c r="O148" s="19">
        <f>IF(COUNTA(H148,J148:L148)=0,"",IF(COUNTA(H148,J148:L148)&lt;4,"Incomplete: fill all four labels",IF(AND(K148="Yes",J148="P3"),"Error: safety Yes can't be P3",IF(AND(K148="Yes",L148="Explain to customer (no repair needed)"),"Error: safety Yes needs a repair, not explain",IF(AND(I148&lt;&gt;"",I148=H148),"Error: alt_category is the same as category",IF(AND(J148="P1",K148="No"),"Check: P1 with safety No is only OK if the customer is stranded",IF(AND(L148="Stop driving + roadside assistance",K148="No"),"Check: roadside with safety No is only OK if stuck somewhere unsafe",IF(AND(H148="Other / Unclear",L148&lt;&gt;"Contact customer for more information"),"Check: unclear tickets usually need contact customer",IF(AND(L148="Explain to customer (no repair needed)",J148&lt;&gt;"P3"),"Check: no repair needed is usually P3","OK")))))))))</f>
        <v/>
      </c>
    </row>
    <row r="149" ht="15" customHeight="1" s="13">
      <c r="A149" s="19" t="n"/>
      <c r="B149" s="19" t="n"/>
      <c r="C149" s="19" t="n"/>
      <c r="D149" s="19" t="n"/>
      <c r="E149" s="19" t="n"/>
      <c r="F149" s="19" t="n"/>
      <c r="G149" s="19" t="n"/>
      <c r="H149" s="21" t="n"/>
      <c r="I149" s="21" t="n"/>
      <c r="J149" s="21" t="n"/>
      <c r="K149" s="21" t="n"/>
      <c r="L149" s="21" t="n"/>
      <c r="M149" s="21" t="n"/>
      <c r="N149" s="21" t="n"/>
      <c r="O149" s="19">
        <f>IF(COUNTA(H149,J149:L149)=0,"",IF(COUNTA(H149,J149:L149)&lt;4,"Incomplete: fill all four labels",IF(AND(K149="Yes",J149="P3"),"Error: safety Yes can't be P3",IF(AND(K149="Yes",L149="Explain to customer (no repair needed)"),"Error: safety Yes needs a repair, not explain",IF(AND(I149&lt;&gt;"",I149=H149),"Error: alt_category is the same as category",IF(AND(J149="P1",K149="No"),"Check: P1 with safety No is only OK if the customer is stranded",IF(AND(L149="Stop driving + roadside assistance",K149="No"),"Check: roadside with safety No is only OK if stuck somewhere unsafe",IF(AND(H149="Other / Unclear",L149&lt;&gt;"Contact customer for more information"),"Check: unclear tickets usually need contact customer",IF(AND(L149="Explain to customer (no repair needed)",J149&lt;&gt;"P3"),"Check: no repair needed is usually P3","OK")))))))))</f>
        <v/>
      </c>
    </row>
    <row r="150" ht="15" customHeight="1" s="13">
      <c r="A150" s="19" t="n"/>
      <c r="B150" s="19" t="n"/>
      <c r="C150" s="19" t="n"/>
      <c r="D150" s="19" t="n"/>
      <c r="E150" s="19" t="n"/>
      <c r="F150" s="19" t="n"/>
      <c r="G150" s="19" t="n"/>
      <c r="H150" s="21" t="n"/>
      <c r="I150" s="21" t="n"/>
      <c r="J150" s="21" t="n"/>
      <c r="K150" s="21" t="n"/>
      <c r="L150" s="21" t="n"/>
      <c r="M150" s="21" t="n"/>
      <c r="N150" s="21" t="n"/>
      <c r="O150" s="19">
        <f>IF(COUNTA(H150,J150:L150)=0,"",IF(COUNTA(H150,J150:L150)&lt;4,"Incomplete: fill all four labels",IF(AND(K150="Yes",J150="P3"),"Error: safety Yes can't be P3",IF(AND(K150="Yes",L150="Explain to customer (no repair needed)"),"Error: safety Yes needs a repair, not explain",IF(AND(I150&lt;&gt;"",I150=H150),"Error: alt_category is the same as category",IF(AND(J150="P1",K150="No"),"Check: P1 with safety No is only OK if the customer is stranded",IF(AND(L150="Stop driving + roadside assistance",K150="No"),"Check: roadside with safety No is only OK if stuck somewhere unsafe",IF(AND(H150="Other / Unclear",L150&lt;&gt;"Contact customer for more information"),"Check: unclear tickets usually need contact customer",IF(AND(L150="Explain to customer (no repair needed)",J150&lt;&gt;"P3"),"Check: no repair needed is usually P3","OK")))))))))</f>
        <v/>
      </c>
    </row>
    <row r="151" ht="15" customHeight="1" s="13">
      <c r="A151" s="19" t="n"/>
      <c r="B151" s="19" t="n"/>
      <c r="C151" s="19" t="n"/>
      <c r="D151" s="19" t="n"/>
      <c r="E151" s="19" t="n"/>
      <c r="F151" s="19" t="n"/>
      <c r="G151" s="19" t="n"/>
      <c r="H151" s="21" t="n"/>
      <c r="I151" s="21" t="n"/>
      <c r="J151" s="21" t="n"/>
      <c r="K151" s="21" t="n"/>
      <c r="L151" s="21" t="n"/>
      <c r="M151" s="21" t="n"/>
      <c r="N151" s="21" t="n"/>
      <c r="O151" s="19">
        <f>IF(COUNTA(H151,J151:L151)=0,"",IF(COUNTA(H151,J151:L151)&lt;4,"Incomplete: fill all four labels",IF(AND(K151="Yes",J151="P3"),"Error: safety Yes can't be P3",IF(AND(K151="Yes",L151="Explain to customer (no repair needed)"),"Error: safety Yes needs a repair, not explain",IF(AND(I151&lt;&gt;"",I151=H151),"Error: alt_category is the same as category",IF(AND(J151="P1",K151="No"),"Check: P1 with safety No is only OK if the customer is stranded",IF(AND(L151="Stop driving + roadside assistance",K151="No"),"Check: roadside with safety No is only OK if stuck somewhere unsafe",IF(AND(H151="Other / Unclear",L151&lt;&gt;"Contact customer for more information"),"Check: unclear tickets usually need contact customer",IF(AND(L151="Explain to customer (no repair needed)",J151&lt;&gt;"P3"),"Check: no repair needed is usually P3","OK")))))))))</f>
        <v/>
      </c>
    </row>
    <row r="152" ht="15" customHeight="1" s="13">
      <c r="A152" s="19" t="n"/>
      <c r="B152" s="19" t="n"/>
      <c r="C152" s="19" t="n"/>
      <c r="D152" s="19" t="n"/>
      <c r="E152" s="19" t="n"/>
      <c r="F152" s="19" t="n"/>
      <c r="G152" s="19" t="n"/>
      <c r="H152" s="21" t="n"/>
      <c r="I152" s="21" t="n"/>
      <c r="J152" s="21" t="n"/>
      <c r="K152" s="21" t="n"/>
      <c r="L152" s="21" t="n"/>
      <c r="M152" s="21" t="n"/>
      <c r="N152" s="21" t="n"/>
      <c r="O152" s="19">
        <f>IF(COUNTA(H152,J152:L152)=0,"",IF(COUNTA(H152,J152:L152)&lt;4,"Incomplete: fill all four labels",IF(AND(K152="Yes",J152="P3"),"Error: safety Yes can't be P3",IF(AND(K152="Yes",L152="Explain to customer (no repair needed)"),"Error: safety Yes needs a repair, not explain",IF(AND(I152&lt;&gt;"",I152=H152),"Error: alt_category is the same as category",IF(AND(J152="P1",K152="No"),"Check: P1 with safety No is only OK if the customer is stranded",IF(AND(L152="Stop driving + roadside assistance",K152="No"),"Check: roadside with safety No is only OK if stuck somewhere unsafe",IF(AND(H152="Other / Unclear",L152&lt;&gt;"Contact customer for more information"),"Check: unclear tickets usually need contact customer",IF(AND(L152="Explain to customer (no repair needed)",J152&lt;&gt;"P3"),"Check: no repair needed is usually P3","OK")))))))))</f>
        <v/>
      </c>
    </row>
    <row r="153" ht="15" customHeight="1" s="13">
      <c r="A153" s="19" t="n"/>
      <c r="B153" s="19" t="n"/>
      <c r="C153" s="19" t="n"/>
      <c r="D153" s="19" t="n"/>
      <c r="E153" s="19" t="n"/>
      <c r="F153" s="19" t="n"/>
      <c r="G153" s="19" t="n"/>
      <c r="H153" s="21" t="n"/>
      <c r="I153" s="21" t="n"/>
      <c r="J153" s="21" t="n"/>
      <c r="K153" s="21" t="n"/>
      <c r="L153" s="21" t="n"/>
      <c r="M153" s="21" t="n"/>
      <c r="N153" s="21" t="n"/>
      <c r="O153" s="19">
        <f>IF(COUNTA(H153,J153:L153)=0,"",IF(COUNTA(H153,J153:L153)&lt;4,"Incomplete: fill all four labels",IF(AND(K153="Yes",J153="P3"),"Error: safety Yes can't be P3",IF(AND(K153="Yes",L153="Explain to customer (no repair needed)"),"Error: safety Yes needs a repair, not explain",IF(AND(I153&lt;&gt;"",I153=H153),"Error: alt_category is the same as category",IF(AND(J153="P1",K153="No"),"Check: P1 with safety No is only OK if the customer is stranded",IF(AND(L153="Stop driving + roadside assistance",K153="No"),"Check: roadside with safety No is only OK if stuck somewhere unsafe",IF(AND(H153="Other / Unclear",L153&lt;&gt;"Contact customer for more information"),"Check: unclear tickets usually need contact customer",IF(AND(L153="Explain to customer (no repair needed)",J153&lt;&gt;"P3"),"Check: no repair needed is usually P3","OK")))))))))</f>
        <v/>
      </c>
    </row>
    <row r="154" ht="15" customHeight="1" s="13">
      <c r="A154" s="19" t="n"/>
      <c r="B154" s="19" t="n"/>
      <c r="C154" s="19" t="n"/>
      <c r="D154" s="19" t="n"/>
      <c r="E154" s="19" t="n"/>
      <c r="F154" s="19" t="n"/>
      <c r="G154" s="19" t="n"/>
      <c r="H154" s="21" t="n"/>
      <c r="I154" s="21" t="n"/>
      <c r="J154" s="21" t="n"/>
      <c r="K154" s="21" t="n"/>
      <c r="L154" s="21" t="n"/>
      <c r="M154" s="21" t="n"/>
      <c r="N154" s="21" t="n"/>
      <c r="O154" s="19">
        <f>IF(COUNTA(H154,J154:L154)=0,"",IF(COUNTA(H154,J154:L154)&lt;4,"Incomplete: fill all four labels",IF(AND(K154="Yes",J154="P3"),"Error: safety Yes can't be P3",IF(AND(K154="Yes",L154="Explain to customer (no repair needed)"),"Error: safety Yes needs a repair, not explain",IF(AND(I154&lt;&gt;"",I154=H154),"Error: alt_category is the same as category",IF(AND(J154="P1",K154="No"),"Check: P1 with safety No is only OK if the customer is stranded",IF(AND(L154="Stop driving + roadside assistance",K154="No"),"Check: roadside with safety No is only OK if stuck somewhere unsafe",IF(AND(H154="Other / Unclear",L154&lt;&gt;"Contact customer for more information"),"Check: unclear tickets usually need contact customer",IF(AND(L154="Explain to customer (no repair needed)",J154&lt;&gt;"P3"),"Check: no repair needed is usually P3","OK")))))))))</f>
        <v/>
      </c>
    </row>
    <row r="155" ht="15" customHeight="1" s="13">
      <c r="A155" s="19" t="n"/>
      <c r="B155" s="19" t="n"/>
      <c r="C155" s="19" t="n"/>
      <c r="D155" s="19" t="n"/>
      <c r="E155" s="19" t="n"/>
      <c r="F155" s="19" t="n"/>
      <c r="G155" s="19" t="n"/>
      <c r="H155" s="21" t="n"/>
      <c r="I155" s="21" t="n"/>
      <c r="J155" s="21" t="n"/>
      <c r="K155" s="21" t="n"/>
      <c r="L155" s="21" t="n"/>
      <c r="M155" s="21" t="n"/>
      <c r="N155" s="21" t="n"/>
      <c r="O155" s="19">
        <f>IF(COUNTA(H155,J155:L155)=0,"",IF(COUNTA(H155,J155:L155)&lt;4,"Incomplete: fill all four labels",IF(AND(K155="Yes",J155="P3"),"Error: safety Yes can't be P3",IF(AND(K155="Yes",L155="Explain to customer (no repair needed)"),"Error: safety Yes needs a repair, not explain",IF(AND(I155&lt;&gt;"",I155=H155),"Error: alt_category is the same as category",IF(AND(J155="P1",K155="No"),"Check: P1 with safety No is only OK if the customer is stranded",IF(AND(L155="Stop driving + roadside assistance",K155="No"),"Check: roadside with safety No is only OK if stuck somewhere unsafe",IF(AND(H155="Other / Unclear",L155&lt;&gt;"Contact customer for more information"),"Check: unclear tickets usually need contact customer",IF(AND(L155="Explain to customer (no repair needed)",J155&lt;&gt;"P3"),"Check: no repair needed is usually P3","OK")))))))))</f>
        <v/>
      </c>
    </row>
    <row r="156" ht="15" customHeight="1" s="13">
      <c r="A156" s="19" t="n"/>
      <c r="B156" s="19" t="n"/>
      <c r="C156" s="19" t="n"/>
      <c r="D156" s="19" t="n"/>
      <c r="E156" s="19" t="n"/>
      <c r="F156" s="19" t="n"/>
      <c r="G156" s="19" t="n"/>
      <c r="H156" s="21" t="n"/>
      <c r="I156" s="21" t="n"/>
      <c r="J156" s="21" t="n"/>
      <c r="K156" s="21" t="n"/>
      <c r="L156" s="21" t="n"/>
      <c r="M156" s="21" t="n"/>
      <c r="N156" s="21" t="n"/>
      <c r="O156" s="19">
        <f>IF(COUNTA(H156,J156:L156)=0,"",IF(COUNTA(H156,J156:L156)&lt;4,"Incomplete: fill all four labels",IF(AND(K156="Yes",J156="P3"),"Error: safety Yes can't be P3",IF(AND(K156="Yes",L156="Explain to customer (no repair needed)"),"Error: safety Yes needs a repair, not explain",IF(AND(I156&lt;&gt;"",I156=H156),"Error: alt_category is the same as category",IF(AND(J156="P1",K156="No"),"Check: P1 with safety No is only OK if the customer is stranded",IF(AND(L156="Stop driving + roadside assistance",K156="No"),"Check: roadside with safety No is only OK if stuck somewhere unsafe",IF(AND(H156="Other / Unclear",L156&lt;&gt;"Contact customer for more information"),"Check: unclear tickets usually need contact customer",IF(AND(L156="Explain to customer (no repair needed)",J156&lt;&gt;"P3"),"Check: no repair needed is usually P3","OK")))))))))</f>
        <v/>
      </c>
    </row>
    <row r="157" ht="15" customHeight="1" s="13">
      <c r="A157" s="19" t="n"/>
      <c r="B157" s="19" t="n"/>
      <c r="C157" s="19" t="n"/>
      <c r="D157" s="19" t="n"/>
      <c r="E157" s="19" t="n"/>
      <c r="F157" s="19" t="n"/>
      <c r="G157" s="19" t="n"/>
      <c r="H157" s="21" t="n"/>
      <c r="I157" s="21" t="n"/>
      <c r="J157" s="21" t="n"/>
      <c r="K157" s="21" t="n"/>
      <c r="L157" s="21" t="n"/>
      <c r="M157" s="21" t="n"/>
      <c r="N157" s="21" t="n"/>
      <c r="O157" s="19">
        <f>IF(COUNTA(H157,J157:L157)=0,"",IF(COUNTA(H157,J157:L157)&lt;4,"Incomplete: fill all four labels",IF(AND(K157="Yes",J157="P3"),"Error: safety Yes can't be P3",IF(AND(K157="Yes",L157="Explain to customer (no repair needed)"),"Error: safety Yes needs a repair, not explain",IF(AND(I157&lt;&gt;"",I157=H157),"Error: alt_category is the same as category",IF(AND(J157="P1",K157="No"),"Check: P1 with safety No is only OK if the customer is stranded",IF(AND(L157="Stop driving + roadside assistance",K157="No"),"Check: roadside with safety No is only OK if stuck somewhere unsafe",IF(AND(H157="Other / Unclear",L157&lt;&gt;"Contact customer for more information"),"Check: unclear tickets usually need contact customer",IF(AND(L157="Explain to customer (no repair needed)",J157&lt;&gt;"P3"),"Check: no repair needed is usually P3","OK")))))))))</f>
        <v/>
      </c>
    </row>
    <row r="158" ht="15" customHeight="1" s="13">
      <c r="A158" s="19" t="n"/>
      <c r="B158" s="19" t="n"/>
      <c r="C158" s="19" t="n"/>
      <c r="D158" s="19" t="n"/>
      <c r="E158" s="19" t="n"/>
      <c r="F158" s="19" t="n"/>
      <c r="G158" s="19" t="n"/>
      <c r="H158" s="21" t="n"/>
      <c r="I158" s="21" t="n"/>
      <c r="J158" s="21" t="n"/>
      <c r="K158" s="21" t="n"/>
      <c r="L158" s="21" t="n"/>
      <c r="M158" s="21" t="n"/>
      <c r="N158" s="21" t="n"/>
      <c r="O158" s="19">
        <f>IF(COUNTA(H158,J158:L158)=0,"",IF(COUNTA(H158,J158:L158)&lt;4,"Incomplete: fill all four labels",IF(AND(K158="Yes",J158="P3"),"Error: safety Yes can't be P3",IF(AND(K158="Yes",L158="Explain to customer (no repair needed)"),"Error: safety Yes needs a repair, not explain",IF(AND(I158&lt;&gt;"",I158=H158),"Error: alt_category is the same as category",IF(AND(J158="P1",K158="No"),"Check: P1 with safety No is only OK if the customer is stranded",IF(AND(L158="Stop driving + roadside assistance",K158="No"),"Check: roadside with safety No is only OK if stuck somewhere unsafe",IF(AND(H158="Other / Unclear",L158&lt;&gt;"Contact customer for more information"),"Check: unclear tickets usually need contact customer",IF(AND(L158="Explain to customer (no repair needed)",J158&lt;&gt;"P3"),"Check: no repair needed is usually P3","OK")))))))))</f>
        <v/>
      </c>
    </row>
    <row r="159" ht="15" customHeight="1" s="13">
      <c r="A159" s="19" t="n"/>
      <c r="B159" s="19" t="n"/>
      <c r="C159" s="19" t="n"/>
      <c r="D159" s="19" t="n"/>
      <c r="E159" s="19" t="n"/>
      <c r="F159" s="19" t="n"/>
      <c r="G159" s="19" t="n"/>
      <c r="H159" s="21" t="n"/>
      <c r="I159" s="21" t="n"/>
      <c r="J159" s="21" t="n"/>
      <c r="K159" s="21" t="n"/>
      <c r="L159" s="21" t="n"/>
      <c r="M159" s="21" t="n"/>
      <c r="N159" s="21" t="n"/>
      <c r="O159" s="19">
        <f>IF(COUNTA(H159,J159:L159)=0,"",IF(COUNTA(H159,J159:L159)&lt;4,"Incomplete: fill all four labels",IF(AND(K159="Yes",J159="P3"),"Error: safety Yes can't be P3",IF(AND(K159="Yes",L159="Explain to customer (no repair needed)"),"Error: safety Yes needs a repair, not explain",IF(AND(I159&lt;&gt;"",I159=H159),"Error: alt_category is the same as category",IF(AND(J159="P1",K159="No"),"Check: P1 with safety No is only OK if the customer is stranded",IF(AND(L159="Stop driving + roadside assistance",K159="No"),"Check: roadside with safety No is only OK if stuck somewhere unsafe",IF(AND(H159="Other / Unclear",L159&lt;&gt;"Contact customer for more information"),"Check: unclear tickets usually need contact customer",IF(AND(L159="Explain to customer (no repair needed)",J159&lt;&gt;"P3"),"Check: no repair needed is usually P3","OK")))))))))</f>
        <v/>
      </c>
    </row>
    <row r="160" ht="15" customHeight="1" s="13">
      <c r="A160" s="19" t="n"/>
      <c r="B160" s="19" t="n"/>
      <c r="C160" s="19" t="n"/>
      <c r="D160" s="19" t="n"/>
      <c r="E160" s="19" t="n"/>
      <c r="F160" s="19" t="n"/>
      <c r="G160" s="19" t="n"/>
      <c r="H160" s="21" t="n"/>
      <c r="I160" s="21" t="n"/>
      <c r="J160" s="21" t="n"/>
      <c r="K160" s="21" t="n"/>
      <c r="L160" s="21" t="n"/>
      <c r="M160" s="21" t="n"/>
      <c r="N160" s="21" t="n"/>
      <c r="O160" s="19">
        <f>IF(COUNTA(H160,J160:L160)=0,"",IF(COUNTA(H160,J160:L160)&lt;4,"Incomplete: fill all four labels",IF(AND(K160="Yes",J160="P3"),"Error: safety Yes can't be P3",IF(AND(K160="Yes",L160="Explain to customer (no repair needed)"),"Error: safety Yes needs a repair, not explain",IF(AND(I160&lt;&gt;"",I160=H160),"Error: alt_category is the same as category",IF(AND(J160="P1",K160="No"),"Check: P1 with safety No is only OK if the customer is stranded",IF(AND(L160="Stop driving + roadside assistance",K160="No"),"Check: roadside with safety No is only OK if stuck somewhere unsafe",IF(AND(H160="Other / Unclear",L160&lt;&gt;"Contact customer for more information"),"Check: unclear tickets usually need contact customer",IF(AND(L160="Explain to customer (no repair needed)",J160&lt;&gt;"P3"),"Check: no repair needed is usually P3","OK")))))))))</f>
        <v/>
      </c>
    </row>
    <row r="161" ht="15" customHeight="1" s="13">
      <c r="A161" s="19" t="n"/>
      <c r="B161" s="19" t="n"/>
      <c r="C161" s="19" t="n"/>
      <c r="D161" s="19" t="n"/>
      <c r="E161" s="19" t="n"/>
      <c r="F161" s="19" t="n"/>
      <c r="G161" s="19" t="n"/>
      <c r="H161" s="21" t="n"/>
      <c r="I161" s="21" t="n"/>
      <c r="J161" s="21" t="n"/>
      <c r="K161" s="21" t="n"/>
      <c r="L161" s="21" t="n"/>
      <c r="M161" s="21" t="n"/>
      <c r="N161" s="21" t="n"/>
      <c r="O161" s="19">
        <f>IF(COUNTA(H161,J161:L161)=0,"",IF(COUNTA(H161,J161:L161)&lt;4,"Incomplete: fill all four labels",IF(AND(K161="Yes",J161="P3"),"Error: safety Yes can't be P3",IF(AND(K161="Yes",L161="Explain to customer (no repair needed)"),"Error: safety Yes needs a repair, not explain",IF(AND(I161&lt;&gt;"",I161=H161),"Error: alt_category is the same as category",IF(AND(J161="P1",K161="No"),"Check: P1 with safety No is only OK if the customer is stranded",IF(AND(L161="Stop driving + roadside assistance",K161="No"),"Check: roadside with safety No is only OK if stuck somewhere unsafe",IF(AND(H161="Other / Unclear",L161&lt;&gt;"Contact customer for more information"),"Check: unclear tickets usually need contact customer",IF(AND(L161="Explain to customer (no repair needed)",J161&lt;&gt;"P3"),"Check: no repair needed is usually P3","OK")))))))))</f>
        <v/>
      </c>
    </row>
    <row r="162" ht="15" customHeight="1" s="13">
      <c r="A162" s="19" t="n"/>
      <c r="B162" s="19" t="n"/>
      <c r="C162" s="19" t="n"/>
      <c r="D162" s="19" t="n"/>
      <c r="E162" s="19" t="n"/>
      <c r="F162" s="19" t="n"/>
      <c r="G162" s="19" t="n"/>
      <c r="H162" s="21" t="n"/>
      <c r="I162" s="21" t="n"/>
      <c r="J162" s="21" t="n"/>
      <c r="K162" s="21" t="n"/>
      <c r="L162" s="21" t="n"/>
      <c r="M162" s="21" t="n"/>
      <c r="N162" s="21" t="n"/>
      <c r="O162" s="19">
        <f>IF(COUNTA(H162,J162:L162)=0,"",IF(COUNTA(H162,J162:L162)&lt;4,"Incomplete: fill all four labels",IF(AND(K162="Yes",J162="P3"),"Error: safety Yes can't be P3",IF(AND(K162="Yes",L162="Explain to customer (no repair needed)"),"Error: safety Yes needs a repair, not explain",IF(AND(I162&lt;&gt;"",I162=H162),"Error: alt_category is the same as category",IF(AND(J162="P1",K162="No"),"Check: P1 with safety No is only OK if the customer is stranded",IF(AND(L162="Stop driving + roadside assistance",K162="No"),"Check: roadside with safety No is only OK if stuck somewhere unsafe",IF(AND(H162="Other / Unclear",L162&lt;&gt;"Contact customer for more information"),"Check: unclear tickets usually need contact customer",IF(AND(L162="Explain to customer (no repair needed)",J162&lt;&gt;"P3"),"Check: no repair needed is usually P3","OK")))))))))</f>
        <v/>
      </c>
    </row>
    <row r="163" ht="15" customHeight="1" s="13">
      <c r="A163" s="19" t="n"/>
      <c r="B163" s="19" t="n"/>
      <c r="C163" s="19" t="n"/>
      <c r="D163" s="19" t="n"/>
      <c r="E163" s="19" t="n"/>
      <c r="F163" s="19" t="n"/>
      <c r="G163" s="19" t="n"/>
      <c r="H163" s="21" t="n"/>
      <c r="I163" s="21" t="n"/>
      <c r="J163" s="21" t="n"/>
      <c r="K163" s="21" t="n"/>
      <c r="L163" s="21" t="n"/>
      <c r="M163" s="21" t="n"/>
      <c r="N163" s="21" t="n"/>
      <c r="O163" s="19">
        <f>IF(COUNTA(H163,J163:L163)=0,"",IF(COUNTA(H163,J163:L163)&lt;4,"Incomplete: fill all four labels",IF(AND(K163="Yes",J163="P3"),"Error: safety Yes can't be P3",IF(AND(K163="Yes",L163="Explain to customer (no repair needed)"),"Error: safety Yes needs a repair, not explain",IF(AND(I163&lt;&gt;"",I163=H163),"Error: alt_category is the same as category",IF(AND(J163="P1",K163="No"),"Check: P1 with safety No is only OK if the customer is stranded",IF(AND(L163="Stop driving + roadside assistance",K163="No"),"Check: roadside with safety No is only OK if stuck somewhere unsafe",IF(AND(H163="Other / Unclear",L163&lt;&gt;"Contact customer for more information"),"Check: unclear tickets usually need contact customer",IF(AND(L163="Explain to customer (no repair needed)",J163&lt;&gt;"P3"),"Check: no repair needed is usually P3","OK")))))))))</f>
        <v/>
      </c>
    </row>
    <row r="164" ht="15" customHeight="1" s="13">
      <c r="A164" s="19" t="n"/>
      <c r="B164" s="19" t="n"/>
      <c r="C164" s="19" t="n"/>
      <c r="D164" s="19" t="n"/>
      <c r="E164" s="19" t="n"/>
      <c r="F164" s="19" t="n"/>
      <c r="G164" s="19" t="n"/>
      <c r="H164" s="21" t="n"/>
      <c r="I164" s="21" t="n"/>
      <c r="J164" s="21" t="n"/>
      <c r="K164" s="21" t="n"/>
      <c r="L164" s="21" t="n"/>
      <c r="M164" s="21" t="n"/>
      <c r="N164" s="21" t="n"/>
      <c r="O164" s="19">
        <f>IF(COUNTA(H164,J164:L164)=0,"",IF(COUNTA(H164,J164:L164)&lt;4,"Incomplete: fill all four labels",IF(AND(K164="Yes",J164="P3"),"Error: safety Yes can't be P3",IF(AND(K164="Yes",L164="Explain to customer (no repair needed)"),"Error: safety Yes needs a repair, not explain",IF(AND(I164&lt;&gt;"",I164=H164),"Error: alt_category is the same as category",IF(AND(J164="P1",K164="No"),"Check: P1 with safety No is only OK if the customer is stranded",IF(AND(L164="Stop driving + roadside assistance",K164="No"),"Check: roadside with safety No is only OK if stuck somewhere unsafe",IF(AND(H164="Other / Unclear",L164&lt;&gt;"Contact customer for more information"),"Check: unclear tickets usually need contact customer",IF(AND(L164="Explain to customer (no repair needed)",J164&lt;&gt;"P3"),"Check: no repair needed is usually P3","OK")))))))))</f>
        <v/>
      </c>
    </row>
    <row r="165" ht="15" customHeight="1" s="13">
      <c r="A165" s="19" t="n"/>
      <c r="B165" s="19" t="n"/>
      <c r="C165" s="19" t="n"/>
      <c r="D165" s="19" t="n"/>
      <c r="E165" s="19" t="n"/>
      <c r="F165" s="19" t="n"/>
      <c r="G165" s="19" t="n"/>
      <c r="H165" s="21" t="n"/>
      <c r="I165" s="21" t="n"/>
      <c r="J165" s="21" t="n"/>
      <c r="K165" s="21" t="n"/>
      <c r="L165" s="21" t="n"/>
      <c r="M165" s="21" t="n"/>
      <c r="N165" s="21" t="n"/>
      <c r="O165" s="19">
        <f>IF(COUNTA(H165,J165:L165)=0,"",IF(COUNTA(H165,J165:L165)&lt;4,"Incomplete: fill all four labels",IF(AND(K165="Yes",J165="P3"),"Error: safety Yes can't be P3",IF(AND(K165="Yes",L165="Explain to customer (no repair needed)"),"Error: safety Yes needs a repair, not explain",IF(AND(I165&lt;&gt;"",I165=H165),"Error: alt_category is the same as category",IF(AND(J165="P1",K165="No"),"Check: P1 with safety No is only OK if the customer is stranded",IF(AND(L165="Stop driving + roadside assistance",K165="No"),"Check: roadside with safety No is only OK if stuck somewhere unsafe",IF(AND(H165="Other / Unclear",L165&lt;&gt;"Contact customer for more information"),"Check: unclear tickets usually need contact customer",IF(AND(L165="Explain to customer (no repair needed)",J165&lt;&gt;"P3"),"Check: no repair needed is usually P3","OK")))))))))</f>
        <v/>
      </c>
    </row>
    <row r="166" ht="15" customHeight="1" s="13">
      <c r="A166" s="19" t="n"/>
      <c r="B166" s="19" t="n"/>
      <c r="C166" s="19" t="n"/>
      <c r="D166" s="19" t="n"/>
      <c r="E166" s="19" t="n"/>
      <c r="F166" s="19" t="n"/>
      <c r="G166" s="19" t="n"/>
      <c r="H166" s="21" t="n"/>
      <c r="I166" s="21" t="n"/>
      <c r="J166" s="21" t="n"/>
      <c r="K166" s="21" t="n"/>
      <c r="L166" s="21" t="n"/>
      <c r="M166" s="21" t="n"/>
      <c r="N166" s="21" t="n"/>
      <c r="O166" s="19">
        <f>IF(COUNTA(H166,J166:L166)=0,"",IF(COUNTA(H166,J166:L166)&lt;4,"Incomplete: fill all four labels",IF(AND(K166="Yes",J166="P3"),"Error: safety Yes can't be P3",IF(AND(K166="Yes",L166="Explain to customer (no repair needed)"),"Error: safety Yes needs a repair, not explain",IF(AND(I166&lt;&gt;"",I166=H166),"Error: alt_category is the same as category",IF(AND(J166="P1",K166="No"),"Check: P1 with safety No is only OK if the customer is stranded",IF(AND(L166="Stop driving + roadside assistance",K166="No"),"Check: roadside with safety No is only OK if stuck somewhere unsafe",IF(AND(H166="Other / Unclear",L166&lt;&gt;"Contact customer for more information"),"Check: unclear tickets usually need contact customer",IF(AND(L166="Explain to customer (no repair needed)",J166&lt;&gt;"P3"),"Check: no repair needed is usually P3","OK")))))))))</f>
        <v/>
      </c>
    </row>
    <row r="167" ht="15" customHeight="1" s="13">
      <c r="A167" s="19" t="n"/>
      <c r="B167" s="19" t="n"/>
      <c r="C167" s="19" t="n"/>
      <c r="D167" s="19" t="n"/>
      <c r="E167" s="19" t="n"/>
      <c r="F167" s="19" t="n"/>
      <c r="G167" s="19" t="n"/>
      <c r="H167" s="21" t="n"/>
      <c r="I167" s="21" t="n"/>
      <c r="J167" s="21" t="n"/>
      <c r="K167" s="21" t="n"/>
      <c r="L167" s="21" t="n"/>
      <c r="M167" s="21" t="n"/>
      <c r="N167" s="21" t="n"/>
      <c r="O167" s="19">
        <f>IF(COUNTA(H167,J167:L167)=0,"",IF(COUNTA(H167,J167:L167)&lt;4,"Incomplete: fill all four labels",IF(AND(K167="Yes",J167="P3"),"Error: safety Yes can't be P3",IF(AND(K167="Yes",L167="Explain to customer (no repair needed)"),"Error: safety Yes needs a repair, not explain",IF(AND(I167&lt;&gt;"",I167=H167),"Error: alt_category is the same as category",IF(AND(J167="P1",K167="No"),"Check: P1 with safety No is only OK if the customer is stranded",IF(AND(L167="Stop driving + roadside assistance",K167="No"),"Check: roadside with safety No is only OK if stuck somewhere unsafe",IF(AND(H167="Other / Unclear",L167&lt;&gt;"Contact customer for more information"),"Check: unclear tickets usually need contact customer",IF(AND(L167="Explain to customer (no repair needed)",J167&lt;&gt;"P3"),"Check: no repair needed is usually P3","OK")))))))))</f>
        <v/>
      </c>
    </row>
    <row r="168" ht="15" customHeight="1" s="13">
      <c r="A168" s="19" t="n"/>
      <c r="B168" s="19" t="n"/>
      <c r="C168" s="19" t="n"/>
      <c r="D168" s="19" t="n"/>
      <c r="E168" s="19" t="n"/>
      <c r="F168" s="19" t="n"/>
      <c r="G168" s="19" t="n"/>
      <c r="H168" s="21" t="n"/>
      <c r="I168" s="21" t="n"/>
      <c r="J168" s="21" t="n"/>
      <c r="K168" s="21" t="n"/>
      <c r="L168" s="21" t="n"/>
      <c r="M168" s="21" t="n"/>
      <c r="N168" s="21" t="n"/>
      <c r="O168" s="19">
        <f>IF(COUNTA(H168,J168:L168)=0,"",IF(COUNTA(H168,J168:L168)&lt;4,"Incomplete: fill all four labels",IF(AND(K168="Yes",J168="P3"),"Error: safety Yes can't be P3",IF(AND(K168="Yes",L168="Explain to customer (no repair needed)"),"Error: safety Yes needs a repair, not explain",IF(AND(I168&lt;&gt;"",I168=H168),"Error: alt_category is the same as category",IF(AND(J168="P1",K168="No"),"Check: P1 with safety No is only OK if the customer is stranded",IF(AND(L168="Stop driving + roadside assistance",K168="No"),"Check: roadside with safety No is only OK if stuck somewhere unsafe",IF(AND(H168="Other / Unclear",L168&lt;&gt;"Contact customer for more information"),"Check: unclear tickets usually need contact customer",IF(AND(L168="Explain to customer (no repair needed)",J168&lt;&gt;"P3"),"Check: no repair needed is usually P3","OK")))))))))</f>
        <v/>
      </c>
    </row>
    <row r="169" ht="15" customHeight="1" s="13">
      <c r="A169" s="19" t="n"/>
      <c r="B169" s="19" t="n"/>
      <c r="C169" s="19" t="n"/>
      <c r="D169" s="19" t="n"/>
      <c r="E169" s="19" t="n"/>
      <c r="F169" s="19" t="n"/>
      <c r="G169" s="19" t="n"/>
      <c r="H169" s="21" t="n"/>
      <c r="I169" s="21" t="n"/>
      <c r="J169" s="21" t="n"/>
      <c r="K169" s="21" t="n"/>
      <c r="L169" s="21" t="n"/>
      <c r="M169" s="21" t="n"/>
      <c r="N169" s="21" t="n"/>
      <c r="O169" s="19">
        <f>IF(COUNTA(H169,J169:L169)=0,"",IF(COUNTA(H169,J169:L169)&lt;4,"Incomplete: fill all four labels",IF(AND(K169="Yes",J169="P3"),"Error: safety Yes can't be P3",IF(AND(K169="Yes",L169="Explain to customer (no repair needed)"),"Error: safety Yes needs a repair, not explain",IF(AND(I169&lt;&gt;"",I169=H169),"Error: alt_category is the same as category",IF(AND(J169="P1",K169="No"),"Check: P1 with safety No is only OK if the customer is stranded",IF(AND(L169="Stop driving + roadside assistance",K169="No"),"Check: roadside with safety No is only OK if stuck somewhere unsafe",IF(AND(H169="Other / Unclear",L169&lt;&gt;"Contact customer for more information"),"Check: unclear tickets usually need contact customer",IF(AND(L169="Explain to customer (no repair needed)",J169&lt;&gt;"P3"),"Check: no repair needed is usually P3","OK")))))))))</f>
        <v/>
      </c>
    </row>
    <row r="170" ht="15" customHeight="1" s="13">
      <c r="A170" s="19" t="n"/>
      <c r="B170" s="19" t="n"/>
      <c r="C170" s="19" t="n"/>
      <c r="D170" s="19" t="n"/>
      <c r="E170" s="19" t="n"/>
      <c r="F170" s="19" t="n"/>
      <c r="G170" s="19" t="n"/>
      <c r="H170" s="21" t="n"/>
      <c r="I170" s="21" t="n"/>
      <c r="J170" s="21" t="n"/>
      <c r="K170" s="21" t="n"/>
      <c r="L170" s="21" t="n"/>
      <c r="M170" s="21" t="n"/>
      <c r="N170" s="21" t="n"/>
      <c r="O170" s="19">
        <f>IF(COUNTA(H170,J170:L170)=0,"",IF(COUNTA(H170,J170:L170)&lt;4,"Incomplete: fill all four labels",IF(AND(K170="Yes",J170="P3"),"Error: safety Yes can't be P3",IF(AND(K170="Yes",L170="Explain to customer (no repair needed)"),"Error: safety Yes needs a repair, not explain",IF(AND(I170&lt;&gt;"",I170=H170),"Error: alt_category is the same as category",IF(AND(J170="P1",K170="No"),"Check: P1 with safety No is only OK if the customer is stranded",IF(AND(L170="Stop driving + roadside assistance",K170="No"),"Check: roadside with safety No is only OK if stuck somewhere unsafe",IF(AND(H170="Other / Unclear",L170&lt;&gt;"Contact customer for more information"),"Check: unclear tickets usually need contact customer",IF(AND(L170="Explain to customer (no repair needed)",J170&lt;&gt;"P3"),"Check: no repair needed is usually P3","OK")))))))))</f>
        <v/>
      </c>
    </row>
    <row r="171" ht="15" customHeight="1" s="13">
      <c r="A171" s="19" t="n"/>
      <c r="B171" s="19" t="n"/>
      <c r="C171" s="19" t="n"/>
      <c r="D171" s="19" t="n"/>
      <c r="E171" s="19" t="n"/>
      <c r="F171" s="19" t="n"/>
      <c r="G171" s="19" t="n"/>
      <c r="H171" s="21" t="n"/>
      <c r="I171" s="21" t="n"/>
      <c r="J171" s="21" t="n"/>
      <c r="K171" s="21" t="n"/>
      <c r="L171" s="21" t="n"/>
      <c r="M171" s="21" t="n"/>
      <c r="N171" s="21" t="n"/>
      <c r="O171" s="19">
        <f>IF(COUNTA(H171,J171:L171)=0,"",IF(COUNTA(H171,J171:L171)&lt;4,"Incomplete: fill all four labels",IF(AND(K171="Yes",J171="P3"),"Error: safety Yes can't be P3",IF(AND(K171="Yes",L171="Explain to customer (no repair needed)"),"Error: safety Yes needs a repair, not explain",IF(AND(I171&lt;&gt;"",I171=H171),"Error: alt_category is the same as category",IF(AND(J171="P1",K171="No"),"Check: P1 with safety No is only OK if the customer is stranded",IF(AND(L171="Stop driving + roadside assistance",K171="No"),"Check: roadside with safety No is only OK if stuck somewhere unsafe",IF(AND(H171="Other / Unclear",L171&lt;&gt;"Contact customer for more information"),"Check: unclear tickets usually need contact customer",IF(AND(L171="Explain to customer (no repair needed)",J171&lt;&gt;"P3"),"Check: no repair needed is usually P3","OK")))))))))</f>
        <v/>
      </c>
    </row>
    <row r="172" ht="15" customHeight="1" s="13">
      <c r="A172" s="19" t="n"/>
      <c r="B172" s="19" t="n"/>
      <c r="C172" s="19" t="n"/>
      <c r="D172" s="19" t="n"/>
      <c r="E172" s="19" t="n"/>
      <c r="F172" s="19" t="n"/>
      <c r="G172" s="19" t="n"/>
      <c r="H172" s="21" t="n"/>
      <c r="I172" s="21" t="n"/>
      <c r="J172" s="21" t="n"/>
      <c r="K172" s="21" t="n"/>
      <c r="L172" s="21" t="n"/>
      <c r="M172" s="21" t="n"/>
      <c r="N172" s="21" t="n"/>
      <c r="O172" s="19">
        <f>IF(COUNTA(H172,J172:L172)=0,"",IF(COUNTA(H172,J172:L172)&lt;4,"Incomplete: fill all four labels",IF(AND(K172="Yes",J172="P3"),"Error: safety Yes can't be P3",IF(AND(K172="Yes",L172="Explain to customer (no repair needed)"),"Error: safety Yes needs a repair, not explain",IF(AND(I172&lt;&gt;"",I172=H172),"Error: alt_category is the same as category",IF(AND(J172="P1",K172="No"),"Check: P1 with safety No is only OK if the customer is stranded",IF(AND(L172="Stop driving + roadside assistance",K172="No"),"Check: roadside with safety No is only OK if stuck somewhere unsafe",IF(AND(H172="Other / Unclear",L172&lt;&gt;"Contact customer for more information"),"Check: unclear tickets usually need contact customer",IF(AND(L172="Explain to customer (no repair needed)",J172&lt;&gt;"P3"),"Check: no repair needed is usually P3","OK")))))))))</f>
        <v/>
      </c>
    </row>
    <row r="173" ht="15" customHeight="1" s="13">
      <c r="A173" s="19" t="n"/>
      <c r="B173" s="19" t="n"/>
      <c r="C173" s="19" t="n"/>
      <c r="D173" s="19" t="n"/>
      <c r="E173" s="19" t="n"/>
      <c r="F173" s="19" t="n"/>
      <c r="G173" s="19" t="n"/>
      <c r="H173" s="21" t="n"/>
      <c r="I173" s="21" t="n"/>
      <c r="J173" s="21" t="n"/>
      <c r="K173" s="21" t="n"/>
      <c r="L173" s="21" t="n"/>
      <c r="M173" s="21" t="n"/>
      <c r="N173" s="21" t="n"/>
      <c r="O173" s="19">
        <f>IF(COUNTA(H173,J173:L173)=0,"",IF(COUNTA(H173,J173:L173)&lt;4,"Incomplete: fill all four labels",IF(AND(K173="Yes",J173="P3"),"Error: safety Yes can't be P3",IF(AND(K173="Yes",L173="Explain to customer (no repair needed)"),"Error: safety Yes needs a repair, not explain",IF(AND(I173&lt;&gt;"",I173=H173),"Error: alt_category is the same as category",IF(AND(J173="P1",K173="No"),"Check: P1 with safety No is only OK if the customer is stranded",IF(AND(L173="Stop driving + roadside assistance",K173="No"),"Check: roadside with safety No is only OK if stuck somewhere unsafe",IF(AND(H173="Other / Unclear",L173&lt;&gt;"Contact customer for more information"),"Check: unclear tickets usually need contact customer",IF(AND(L173="Explain to customer (no repair needed)",J173&lt;&gt;"P3"),"Check: no repair needed is usually P3","OK")))))))))</f>
        <v/>
      </c>
    </row>
    <row r="174" ht="15" customHeight="1" s="13">
      <c r="A174" s="19" t="n"/>
      <c r="B174" s="19" t="n"/>
      <c r="C174" s="19" t="n"/>
      <c r="D174" s="19" t="n"/>
      <c r="E174" s="19" t="n"/>
      <c r="F174" s="19" t="n"/>
      <c r="G174" s="19" t="n"/>
      <c r="H174" s="21" t="n"/>
      <c r="I174" s="21" t="n"/>
      <c r="J174" s="21" t="n"/>
      <c r="K174" s="21" t="n"/>
      <c r="L174" s="21" t="n"/>
      <c r="M174" s="21" t="n"/>
      <c r="N174" s="21" t="n"/>
      <c r="O174" s="19">
        <f>IF(COUNTA(H174,J174:L174)=0,"",IF(COUNTA(H174,J174:L174)&lt;4,"Incomplete: fill all four labels",IF(AND(K174="Yes",J174="P3"),"Error: safety Yes can't be P3",IF(AND(K174="Yes",L174="Explain to customer (no repair needed)"),"Error: safety Yes needs a repair, not explain",IF(AND(I174&lt;&gt;"",I174=H174),"Error: alt_category is the same as category",IF(AND(J174="P1",K174="No"),"Check: P1 with safety No is only OK if the customer is stranded",IF(AND(L174="Stop driving + roadside assistance",K174="No"),"Check: roadside with safety No is only OK if stuck somewhere unsafe",IF(AND(H174="Other / Unclear",L174&lt;&gt;"Contact customer for more information"),"Check: unclear tickets usually need contact customer",IF(AND(L174="Explain to customer (no repair needed)",J174&lt;&gt;"P3"),"Check: no repair needed is usually P3","OK")))))))))</f>
        <v/>
      </c>
    </row>
    <row r="175" ht="15" customHeight="1" s="13">
      <c r="A175" s="19" t="n"/>
      <c r="B175" s="19" t="n"/>
      <c r="C175" s="19" t="n"/>
      <c r="D175" s="19" t="n"/>
      <c r="E175" s="19" t="n"/>
      <c r="F175" s="19" t="n"/>
      <c r="G175" s="19" t="n"/>
      <c r="H175" s="21" t="n"/>
      <c r="I175" s="21" t="n"/>
      <c r="J175" s="21" t="n"/>
      <c r="K175" s="21" t="n"/>
      <c r="L175" s="21" t="n"/>
      <c r="M175" s="21" t="n"/>
      <c r="N175" s="21" t="n"/>
      <c r="O175" s="19">
        <f>IF(COUNTA(H175,J175:L175)=0,"",IF(COUNTA(H175,J175:L175)&lt;4,"Incomplete: fill all four labels",IF(AND(K175="Yes",J175="P3"),"Error: safety Yes can't be P3",IF(AND(K175="Yes",L175="Explain to customer (no repair needed)"),"Error: safety Yes needs a repair, not explain",IF(AND(I175&lt;&gt;"",I175=H175),"Error: alt_category is the same as category",IF(AND(J175="P1",K175="No"),"Check: P1 with safety No is only OK if the customer is stranded",IF(AND(L175="Stop driving + roadside assistance",K175="No"),"Check: roadside with safety No is only OK if stuck somewhere unsafe",IF(AND(H175="Other / Unclear",L175&lt;&gt;"Contact customer for more information"),"Check: unclear tickets usually need contact customer",IF(AND(L175="Explain to customer (no repair needed)",J175&lt;&gt;"P3"),"Check: no repair needed is usually P3","OK")))))))))</f>
        <v/>
      </c>
    </row>
    <row r="176" ht="15" customHeight="1" s="13">
      <c r="A176" s="19" t="n"/>
      <c r="B176" s="19" t="n"/>
      <c r="C176" s="19" t="n"/>
      <c r="D176" s="19" t="n"/>
      <c r="E176" s="19" t="n"/>
      <c r="F176" s="19" t="n"/>
      <c r="G176" s="19" t="n"/>
      <c r="H176" s="21" t="n"/>
      <c r="I176" s="21" t="n"/>
      <c r="J176" s="21" t="n"/>
      <c r="K176" s="21" t="n"/>
      <c r="L176" s="21" t="n"/>
      <c r="M176" s="21" t="n"/>
      <c r="N176" s="21" t="n"/>
      <c r="O176" s="19">
        <f>IF(COUNTA(H176,J176:L176)=0,"",IF(COUNTA(H176,J176:L176)&lt;4,"Incomplete: fill all four labels",IF(AND(K176="Yes",J176="P3"),"Error: safety Yes can't be P3",IF(AND(K176="Yes",L176="Explain to customer (no repair needed)"),"Error: safety Yes needs a repair, not explain",IF(AND(I176&lt;&gt;"",I176=H176),"Error: alt_category is the same as category",IF(AND(J176="P1",K176="No"),"Check: P1 with safety No is only OK if the customer is stranded",IF(AND(L176="Stop driving + roadside assistance",K176="No"),"Check: roadside with safety No is only OK if stuck somewhere unsafe",IF(AND(H176="Other / Unclear",L176&lt;&gt;"Contact customer for more information"),"Check: unclear tickets usually need contact customer",IF(AND(L176="Explain to customer (no repair needed)",J176&lt;&gt;"P3"),"Check: no repair needed is usually P3","OK")))))))))</f>
        <v/>
      </c>
    </row>
    <row r="177" ht="15" customHeight="1" s="13">
      <c r="A177" s="19" t="n"/>
      <c r="B177" s="19" t="n"/>
      <c r="C177" s="19" t="n"/>
      <c r="D177" s="19" t="n"/>
      <c r="E177" s="19" t="n"/>
      <c r="F177" s="19" t="n"/>
      <c r="G177" s="19" t="n"/>
      <c r="H177" s="21" t="n"/>
      <c r="I177" s="21" t="n"/>
      <c r="J177" s="21" t="n"/>
      <c r="K177" s="21" t="n"/>
      <c r="L177" s="21" t="n"/>
      <c r="M177" s="21" t="n"/>
      <c r="N177" s="21" t="n"/>
      <c r="O177" s="19">
        <f>IF(COUNTA(H177,J177:L177)=0,"",IF(COUNTA(H177,J177:L177)&lt;4,"Incomplete: fill all four labels",IF(AND(K177="Yes",J177="P3"),"Error: safety Yes can't be P3",IF(AND(K177="Yes",L177="Explain to customer (no repair needed)"),"Error: safety Yes needs a repair, not explain",IF(AND(I177&lt;&gt;"",I177=H177),"Error: alt_category is the same as category",IF(AND(J177="P1",K177="No"),"Check: P1 with safety No is only OK if the customer is stranded",IF(AND(L177="Stop driving + roadside assistance",K177="No"),"Check: roadside with safety No is only OK if stuck somewhere unsafe",IF(AND(H177="Other / Unclear",L177&lt;&gt;"Contact customer for more information"),"Check: unclear tickets usually need contact customer",IF(AND(L177="Explain to customer (no repair needed)",J177&lt;&gt;"P3"),"Check: no repair needed is usually P3","OK")))))))))</f>
        <v/>
      </c>
    </row>
    <row r="178" ht="15" customHeight="1" s="13">
      <c r="A178" s="19" t="n"/>
      <c r="B178" s="19" t="n"/>
      <c r="C178" s="19" t="n"/>
      <c r="D178" s="19" t="n"/>
      <c r="E178" s="19" t="n"/>
      <c r="F178" s="19" t="n"/>
      <c r="G178" s="19" t="n"/>
      <c r="H178" s="21" t="n"/>
      <c r="I178" s="21" t="n"/>
      <c r="J178" s="21" t="n"/>
      <c r="K178" s="21" t="n"/>
      <c r="L178" s="21" t="n"/>
      <c r="M178" s="21" t="n"/>
      <c r="N178" s="21" t="n"/>
      <c r="O178" s="19">
        <f>IF(COUNTA(H178,J178:L178)=0,"",IF(COUNTA(H178,J178:L178)&lt;4,"Incomplete: fill all four labels",IF(AND(K178="Yes",J178="P3"),"Error: safety Yes can't be P3",IF(AND(K178="Yes",L178="Explain to customer (no repair needed)"),"Error: safety Yes needs a repair, not explain",IF(AND(I178&lt;&gt;"",I178=H178),"Error: alt_category is the same as category",IF(AND(J178="P1",K178="No"),"Check: P1 with safety No is only OK if the customer is stranded",IF(AND(L178="Stop driving + roadside assistance",K178="No"),"Check: roadside with safety No is only OK if stuck somewhere unsafe",IF(AND(H178="Other / Unclear",L178&lt;&gt;"Contact customer for more information"),"Check: unclear tickets usually need contact customer",IF(AND(L178="Explain to customer (no repair needed)",J178&lt;&gt;"P3"),"Check: no repair needed is usually P3","OK")))))))))</f>
        <v/>
      </c>
    </row>
    <row r="179" ht="15" customHeight="1" s="13">
      <c r="A179" s="19" t="n"/>
      <c r="B179" s="19" t="n"/>
      <c r="C179" s="19" t="n"/>
      <c r="D179" s="19" t="n"/>
      <c r="E179" s="19" t="n"/>
      <c r="F179" s="19" t="n"/>
      <c r="G179" s="19" t="n"/>
      <c r="H179" s="21" t="n"/>
      <c r="I179" s="21" t="n"/>
      <c r="J179" s="21" t="n"/>
      <c r="K179" s="21" t="n"/>
      <c r="L179" s="21" t="n"/>
      <c r="M179" s="21" t="n"/>
      <c r="N179" s="21" t="n"/>
      <c r="O179" s="19">
        <f>IF(COUNTA(H179,J179:L179)=0,"",IF(COUNTA(H179,J179:L179)&lt;4,"Incomplete: fill all four labels",IF(AND(K179="Yes",J179="P3"),"Error: safety Yes can't be P3",IF(AND(K179="Yes",L179="Explain to customer (no repair needed)"),"Error: safety Yes needs a repair, not explain",IF(AND(I179&lt;&gt;"",I179=H179),"Error: alt_category is the same as category",IF(AND(J179="P1",K179="No"),"Check: P1 with safety No is only OK if the customer is stranded",IF(AND(L179="Stop driving + roadside assistance",K179="No"),"Check: roadside with safety No is only OK if stuck somewhere unsafe",IF(AND(H179="Other / Unclear",L179&lt;&gt;"Contact customer for more information"),"Check: unclear tickets usually need contact customer",IF(AND(L179="Explain to customer (no repair needed)",J179&lt;&gt;"P3"),"Check: no repair needed is usually P3","OK")))))))))</f>
        <v/>
      </c>
    </row>
    <row r="180" ht="15" customHeight="1" s="13">
      <c r="A180" s="19" t="n"/>
      <c r="B180" s="19" t="n"/>
      <c r="C180" s="19" t="n"/>
      <c r="D180" s="19" t="n"/>
      <c r="E180" s="19" t="n"/>
      <c r="F180" s="19" t="n"/>
      <c r="G180" s="19" t="n"/>
      <c r="H180" s="21" t="n"/>
      <c r="I180" s="21" t="n"/>
      <c r="J180" s="21" t="n"/>
      <c r="K180" s="21" t="n"/>
      <c r="L180" s="21" t="n"/>
      <c r="M180" s="21" t="n"/>
      <c r="N180" s="21" t="n"/>
      <c r="O180" s="19">
        <f>IF(COUNTA(H180,J180:L180)=0,"",IF(COUNTA(H180,J180:L180)&lt;4,"Incomplete: fill all four labels",IF(AND(K180="Yes",J180="P3"),"Error: safety Yes can't be P3",IF(AND(K180="Yes",L180="Explain to customer (no repair needed)"),"Error: safety Yes needs a repair, not explain",IF(AND(I180&lt;&gt;"",I180=H180),"Error: alt_category is the same as category",IF(AND(J180="P1",K180="No"),"Check: P1 with safety No is only OK if the customer is stranded",IF(AND(L180="Stop driving + roadside assistance",K180="No"),"Check: roadside with safety No is only OK if stuck somewhere unsafe",IF(AND(H180="Other / Unclear",L180&lt;&gt;"Contact customer for more information"),"Check: unclear tickets usually need contact customer",IF(AND(L180="Explain to customer (no repair needed)",J180&lt;&gt;"P3"),"Check: no repair needed is usually P3","OK")))))))))</f>
        <v/>
      </c>
    </row>
    <row r="181" ht="15" customHeight="1" s="13">
      <c r="A181" s="19" t="n"/>
      <c r="B181" s="19" t="n"/>
      <c r="C181" s="19" t="n"/>
      <c r="D181" s="19" t="n"/>
      <c r="E181" s="19" t="n"/>
      <c r="F181" s="19" t="n"/>
      <c r="G181" s="19" t="n"/>
      <c r="H181" s="21" t="n"/>
      <c r="I181" s="21" t="n"/>
      <c r="J181" s="21" t="n"/>
      <c r="K181" s="21" t="n"/>
      <c r="L181" s="21" t="n"/>
      <c r="M181" s="21" t="n"/>
      <c r="N181" s="21" t="n"/>
      <c r="O181" s="19">
        <f>IF(COUNTA(H181,J181:L181)=0,"",IF(COUNTA(H181,J181:L181)&lt;4,"Incomplete: fill all four labels",IF(AND(K181="Yes",J181="P3"),"Error: safety Yes can't be P3",IF(AND(K181="Yes",L181="Explain to customer (no repair needed)"),"Error: safety Yes needs a repair, not explain",IF(AND(I181&lt;&gt;"",I181=H181),"Error: alt_category is the same as category",IF(AND(J181="P1",K181="No"),"Check: P1 with safety No is only OK if the customer is stranded",IF(AND(L181="Stop driving + roadside assistance",K181="No"),"Check: roadside with safety No is only OK if stuck somewhere unsafe",IF(AND(H181="Other / Unclear",L181&lt;&gt;"Contact customer for more information"),"Check: unclear tickets usually need contact customer",IF(AND(L181="Explain to customer (no repair needed)",J181&lt;&gt;"P3"),"Check: no repair needed is usually P3","OK")))))))))</f>
        <v/>
      </c>
    </row>
    <row r="182" ht="15" customHeight="1" s="13">
      <c r="A182" s="19" t="n"/>
      <c r="B182" s="19" t="n"/>
      <c r="C182" s="19" t="n"/>
      <c r="D182" s="19" t="n"/>
      <c r="E182" s="19" t="n"/>
      <c r="F182" s="19" t="n"/>
      <c r="G182" s="19" t="n"/>
      <c r="H182" s="21" t="n"/>
      <c r="I182" s="21" t="n"/>
      <c r="J182" s="21" t="n"/>
      <c r="K182" s="21" t="n"/>
      <c r="L182" s="21" t="n"/>
      <c r="M182" s="21" t="n"/>
      <c r="N182" s="21" t="n"/>
      <c r="O182" s="19">
        <f>IF(COUNTA(H182,J182:L182)=0,"",IF(COUNTA(H182,J182:L182)&lt;4,"Incomplete: fill all four labels",IF(AND(K182="Yes",J182="P3"),"Error: safety Yes can't be P3",IF(AND(K182="Yes",L182="Explain to customer (no repair needed)"),"Error: safety Yes needs a repair, not explain",IF(AND(I182&lt;&gt;"",I182=H182),"Error: alt_category is the same as category",IF(AND(J182="P1",K182="No"),"Check: P1 with safety No is only OK if the customer is stranded",IF(AND(L182="Stop driving + roadside assistance",K182="No"),"Check: roadside with safety No is only OK if stuck somewhere unsafe",IF(AND(H182="Other / Unclear",L182&lt;&gt;"Contact customer for more information"),"Check: unclear tickets usually need contact customer",IF(AND(L182="Explain to customer (no repair needed)",J182&lt;&gt;"P3"),"Check: no repair needed is usually P3","OK")))))))))</f>
        <v/>
      </c>
    </row>
    <row r="183" ht="15" customHeight="1" s="13">
      <c r="A183" s="19" t="n"/>
      <c r="B183" s="19" t="n"/>
      <c r="C183" s="19" t="n"/>
      <c r="D183" s="19" t="n"/>
      <c r="E183" s="19" t="n"/>
      <c r="F183" s="19" t="n"/>
      <c r="G183" s="19" t="n"/>
      <c r="H183" s="21" t="n"/>
      <c r="I183" s="21" t="n"/>
      <c r="J183" s="21" t="n"/>
      <c r="K183" s="21" t="n"/>
      <c r="L183" s="21" t="n"/>
      <c r="M183" s="21" t="n"/>
      <c r="N183" s="21" t="n"/>
      <c r="O183" s="19">
        <f>IF(COUNTA(H183,J183:L183)=0,"",IF(COUNTA(H183,J183:L183)&lt;4,"Incomplete: fill all four labels",IF(AND(K183="Yes",J183="P3"),"Error: safety Yes can't be P3",IF(AND(K183="Yes",L183="Explain to customer (no repair needed)"),"Error: safety Yes needs a repair, not explain",IF(AND(I183&lt;&gt;"",I183=H183),"Error: alt_category is the same as category",IF(AND(J183="P1",K183="No"),"Check: P1 with safety No is only OK if the customer is stranded",IF(AND(L183="Stop driving + roadside assistance",K183="No"),"Check: roadside with safety No is only OK if stuck somewhere unsafe",IF(AND(H183="Other / Unclear",L183&lt;&gt;"Contact customer for more information"),"Check: unclear tickets usually need contact customer",IF(AND(L183="Explain to customer (no repair needed)",J183&lt;&gt;"P3"),"Check: no repair needed is usually P3","OK")))))))))</f>
        <v/>
      </c>
    </row>
    <row r="184" ht="15" customHeight="1" s="13">
      <c r="A184" s="19" t="n"/>
      <c r="B184" s="19" t="n"/>
      <c r="C184" s="19" t="n"/>
      <c r="D184" s="19" t="n"/>
      <c r="E184" s="19" t="n"/>
      <c r="F184" s="19" t="n"/>
      <c r="G184" s="19" t="n"/>
      <c r="H184" s="21" t="n"/>
      <c r="I184" s="21" t="n"/>
      <c r="J184" s="21" t="n"/>
      <c r="K184" s="21" t="n"/>
      <c r="L184" s="21" t="n"/>
      <c r="M184" s="21" t="n"/>
      <c r="N184" s="21" t="n"/>
      <c r="O184" s="19">
        <f>IF(COUNTA(H184,J184:L184)=0,"",IF(COUNTA(H184,J184:L184)&lt;4,"Incomplete: fill all four labels",IF(AND(K184="Yes",J184="P3"),"Error: safety Yes can't be P3",IF(AND(K184="Yes",L184="Explain to customer (no repair needed)"),"Error: safety Yes needs a repair, not explain",IF(AND(I184&lt;&gt;"",I184=H184),"Error: alt_category is the same as category",IF(AND(J184="P1",K184="No"),"Check: P1 with safety No is only OK if the customer is stranded",IF(AND(L184="Stop driving + roadside assistance",K184="No"),"Check: roadside with safety No is only OK if stuck somewhere unsafe",IF(AND(H184="Other / Unclear",L184&lt;&gt;"Contact customer for more information"),"Check: unclear tickets usually need contact customer",IF(AND(L184="Explain to customer (no repair needed)",J184&lt;&gt;"P3"),"Check: no repair needed is usually P3","OK")))))))))</f>
        <v/>
      </c>
    </row>
    <row r="185" ht="15" customHeight="1" s="13">
      <c r="A185" s="19" t="n"/>
      <c r="B185" s="19" t="n"/>
      <c r="C185" s="19" t="n"/>
      <c r="D185" s="19" t="n"/>
      <c r="E185" s="19" t="n"/>
      <c r="F185" s="19" t="n"/>
      <c r="G185" s="19" t="n"/>
      <c r="H185" s="21" t="n"/>
      <c r="I185" s="21" t="n"/>
      <c r="J185" s="21" t="n"/>
      <c r="K185" s="21" t="n"/>
      <c r="L185" s="21" t="n"/>
      <c r="M185" s="21" t="n"/>
      <c r="N185" s="21" t="n"/>
      <c r="O185" s="19">
        <f>IF(COUNTA(H185,J185:L185)=0,"",IF(COUNTA(H185,J185:L185)&lt;4,"Incomplete: fill all four labels",IF(AND(K185="Yes",J185="P3"),"Error: safety Yes can't be P3",IF(AND(K185="Yes",L185="Explain to customer (no repair needed)"),"Error: safety Yes needs a repair, not explain",IF(AND(I185&lt;&gt;"",I185=H185),"Error: alt_category is the same as category",IF(AND(J185="P1",K185="No"),"Check: P1 with safety No is only OK if the customer is stranded",IF(AND(L185="Stop driving + roadside assistance",K185="No"),"Check: roadside with safety No is only OK if stuck somewhere unsafe",IF(AND(H185="Other / Unclear",L185&lt;&gt;"Contact customer for more information"),"Check: unclear tickets usually need contact customer",IF(AND(L185="Explain to customer (no repair needed)",J185&lt;&gt;"P3"),"Check: no repair needed is usually P3","OK")))))))))</f>
        <v/>
      </c>
    </row>
    <row r="186" ht="15" customHeight="1" s="13">
      <c r="A186" s="19" t="n"/>
      <c r="B186" s="19" t="n"/>
      <c r="C186" s="19" t="n"/>
      <c r="D186" s="19" t="n"/>
      <c r="E186" s="19" t="n"/>
      <c r="F186" s="19" t="n"/>
      <c r="G186" s="19" t="n"/>
      <c r="H186" s="21" t="n"/>
      <c r="I186" s="21" t="n"/>
      <c r="J186" s="21" t="n"/>
      <c r="K186" s="21" t="n"/>
      <c r="L186" s="21" t="n"/>
      <c r="M186" s="21" t="n"/>
      <c r="N186" s="21" t="n"/>
      <c r="O186" s="19">
        <f>IF(COUNTA(H186,J186:L186)=0,"",IF(COUNTA(H186,J186:L186)&lt;4,"Incomplete: fill all four labels",IF(AND(K186="Yes",J186="P3"),"Error: safety Yes can't be P3",IF(AND(K186="Yes",L186="Explain to customer (no repair needed)"),"Error: safety Yes needs a repair, not explain",IF(AND(I186&lt;&gt;"",I186=H186),"Error: alt_category is the same as category",IF(AND(J186="P1",K186="No"),"Check: P1 with safety No is only OK if the customer is stranded",IF(AND(L186="Stop driving + roadside assistance",K186="No"),"Check: roadside with safety No is only OK if stuck somewhere unsafe",IF(AND(H186="Other / Unclear",L186&lt;&gt;"Contact customer for more information"),"Check: unclear tickets usually need contact customer",IF(AND(L186="Explain to customer (no repair needed)",J186&lt;&gt;"P3"),"Check: no repair needed is usually P3","OK")))))))))</f>
        <v/>
      </c>
    </row>
    <row r="187" ht="15" customHeight="1" s="13">
      <c r="A187" s="19" t="n"/>
      <c r="B187" s="19" t="n"/>
      <c r="C187" s="19" t="n"/>
      <c r="D187" s="19" t="n"/>
      <c r="E187" s="19" t="n"/>
      <c r="F187" s="19" t="n"/>
      <c r="G187" s="19" t="n"/>
      <c r="H187" s="21" t="n"/>
      <c r="I187" s="21" t="n"/>
      <c r="J187" s="21" t="n"/>
      <c r="K187" s="21" t="n"/>
      <c r="L187" s="21" t="n"/>
      <c r="M187" s="21" t="n"/>
      <c r="N187" s="21" t="n"/>
      <c r="O187" s="19">
        <f>IF(COUNTA(H187,J187:L187)=0,"",IF(COUNTA(H187,J187:L187)&lt;4,"Incomplete: fill all four labels",IF(AND(K187="Yes",J187="P3"),"Error: safety Yes can't be P3",IF(AND(K187="Yes",L187="Explain to customer (no repair needed)"),"Error: safety Yes needs a repair, not explain",IF(AND(I187&lt;&gt;"",I187=H187),"Error: alt_category is the same as category",IF(AND(J187="P1",K187="No"),"Check: P1 with safety No is only OK if the customer is stranded",IF(AND(L187="Stop driving + roadside assistance",K187="No"),"Check: roadside with safety No is only OK if stuck somewhere unsafe",IF(AND(H187="Other / Unclear",L187&lt;&gt;"Contact customer for more information"),"Check: unclear tickets usually need contact customer",IF(AND(L187="Explain to customer (no repair needed)",J187&lt;&gt;"P3"),"Check: no repair needed is usually P3","OK")))))))))</f>
        <v/>
      </c>
    </row>
    <row r="188" ht="15" customHeight="1" s="13">
      <c r="A188" s="19" t="n"/>
      <c r="B188" s="19" t="n"/>
      <c r="C188" s="19" t="n"/>
      <c r="D188" s="19" t="n"/>
      <c r="E188" s="19" t="n"/>
      <c r="F188" s="19" t="n"/>
      <c r="G188" s="19" t="n"/>
      <c r="H188" s="21" t="n"/>
      <c r="I188" s="21" t="n"/>
      <c r="J188" s="21" t="n"/>
      <c r="K188" s="21" t="n"/>
      <c r="L188" s="21" t="n"/>
      <c r="M188" s="21" t="n"/>
      <c r="N188" s="21" t="n"/>
      <c r="O188" s="19">
        <f>IF(COUNTA(H188,J188:L188)=0,"",IF(COUNTA(H188,J188:L188)&lt;4,"Incomplete: fill all four labels",IF(AND(K188="Yes",J188="P3"),"Error: safety Yes can't be P3",IF(AND(K188="Yes",L188="Explain to customer (no repair needed)"),"Error: safety Yes needs a repair, not explain",IF(AND(I188&lt;&gt;"",I188=H188),"Error: alt_category is the same as category",IF(AND(J188="P1",K188="No"),"Check: P1 with safety No is only OK if the customer is stranded",IF(AND(L188="Stop driving + roadside assistance",K188="No"),"Check: roadside with safety No is only OK if stuck somewhere unsafe",IF(AND(H188="Other / Unclear",L188&lt;&gt;"Contact customer for more information"),"Check: unclear tickets usually need contact customer",IF(AND(L188="Explain to customer (no repair needed)",J188&lt;&gt;"P3"),"Check: no repair needed is usually P3","OK")))))))))</f>
        <v/>
      </c>
    </row>
    <row r="189" ht="15" customHeight="1" s="13">
      <c r="A189" s="19" t="n"/>
      <c r="B189" s="19" t="n"/>
      <c r="C189" s="19" t="n"/>
      <c r="D189" s="19" t="n"/>
      <c r="E189" s="19" t="n"/>
      <c r="F189" s="19" t="n"/>
      <c r="G189" s="19" t="n"/>
      <c r="H189" s="21" t="n"/>
      <c r="I189" s="21" t="n"/>
      <c r="J189" s="21" t="n"/>
      <c r="K189" s="21" t="n"/>
      <c r="L189" s="21" t="n"/>
      <c r="M189" s="21" t="n"/>
      <c r="N189" s="21" t="n"/>
      <c r="O189" s="19">
        <f>IF(COUNTA(H189,J189:L189)=0,"",IF(COUNTA(H189,J189:L189)&lt;4,"Incomplete: fill all four labels",IF(AND(K189="Yes",J189="P3"),"Error: safety Yes can't be P3",IF(AND(K189="Yes",L189="Explain to customer (no repair needed)"),"Error: safety Yes needs a repair, not explain",IF(AND(I189&lt;&gt;"",I189=H189),"Error: alt_category is the same as category",IF(AND(J189="P1",K189="No"),"Check: P1 with safety No is only OK if the customer is stranded",IF(AND(L189="Stop driving + roadside assistance",K189="No"),"Check: roadside with safety No is only OK if stuck somewhere unsafe",IF(AND(H189="Other / Unclear",L189&lt;&gt;"Contact customer for more information"),"Check: unclear tickets usually need contact customer",IF(AND(L189="Explain to customer (no repair needed)",J189&lt;&gt;"P3"),"Check: no repair needed is usually P3","OK")))))))))</f>
        <v/>
      </c>
    </row>
    <row r="190" ht="15" customHeight="1" s="13">
      <c r="A190" s="19" t="n"/>
      <c r="B190" s="19" t="n"/>
      <c r="C190" s="19" t="n"/>
      <c r="D190" s="19" t="n"/>
      <c r="E190" s="19" t="n"/>
      <c r="F190" s="19" t="n"/>
      <c r="G190" s="19" t="n"/>
      <c r="H190" s="21" t="n"/>
      <c r="I190" s="21" t="n"/>
      <c r="J190" s="21" t="n"/>
      <c r="K190" s="21" t="n"/>
      <c r="L190" s="21" t="n"/>
      <c r="M190" s="21" t="n"/>
      <c r="N190" s="21" t="n"/>
      <c r="O190" s="19">
        <f>IF(COUNTA(H190,J190:L190)=0,"",IF(COUNTA(H190,J190:L190)&lt;4,"Incomplete: fill all four labels",IF(AND(K190="Yes",J190="P3"),"Error: safety Yes can't be P3",IF(AND(K190="Yes",L190="Explain to customer (no repair needed)"),"Error: safety Yes needs a repair, not explain",IF(AND(I190&lt;&gt;"",I190=H190),"Error: alt_category is the same as category",IF(AND(J190="P1",K190="No"),"Check: P1 with safety No is only OK if the customer is stranded",IF(AND(L190="Stop driving + roadside assistance",K190="No"),"Check: roadside with safety No is only OK if stuck somewhere unsafe",IF(AND(H190="Other / Unclear",L190&lt;&gt;"Contact customer for more information"),"Check: unclear tickets usually need contact customer",IF(AND(L190="Explain to customer (no repair needed)",J190&lt;&gt;"P3"),"Check: no repair needed is usually P3","OK")))))))))</f>
        <v/>
      </c>
    </row>
    <row r="191" ht="15" customHeight="1" s="13">
      <c r="A191" s="19" t="n"/>
      <c r="B191" s="19" t="n"/>
      <c r="C191" s="19" t="n"/>
      <c r="D191" s="19" t="n"/>
      <c r="E191" s="19" t="n"/>
      <c r="F191" s="19" t="n"/>
      <c r="G191" s="19" t="n"/>
      <c r="H191" s="21" t="n"/>
      <c r="I191" s="21" t="n"/>
      <c r="J191" s="21" t="n"/>
      <c r="K191" s="21" t="n"/>
      <c r="L191" s="21" t="n"/>
      <c r="M191" s="21" t="n"/>
      <c r="N191" s="21" t="n"/>
      <c r="O191" s="19">
        <f>IF(COUNTA(H191,J191:L191)=0,"",IF(COUNTA(H191,J191:L191)&lt;4,"Incomplete: fill all four labels",IF(AND(K191="Yes",J191="P3"),"Error: safety Yes can't be P3",IF(AND(K191="Yes",L191="Explain to customer (no repair needed)"),"Error: safety Yes needs a repair, not explain",IF(AND(I191&lt;&gt;"",I191=H191),"Error: alt_category is the same as category",IF(AND(J191="P1",K191="No"),"Check: P1 with safety No is only OK if the customer is stranded",IF(AND(L191="Stop driving + roadside assistance",K191="No"),"Check: roadside with safety No is only OK if stuck somewhere unsafe",IF(AND(H191="Other / Unclear",L191&lt;&gt;"Contact customer for more information"),"Check: unclear tickets usually need contact customer",IF(AND(L191="Explain to customer (no repair needed)",J191&lt;&gt;"P3"),"Check: no repair needed is usually P3","OK")))))))))</f>
        <v/>
      </c>
    </row>
    <row r="192" ht="15" customHeight="1" s="13">
      <c r="A192" s="19" t="n"/>
      <c r="B192" s="19" t="n"/>
      <c r="C192" s="19" t="n"/>
      <c r="D192" s="19" t="n"/>
      <c r="E192" s="19" t="n"/>
      <c r="F192" s="19" t="n"/>
      <c r="G192" s="19" t="n"/>
      <c r="H192" s="21" t="n"/>
      <c r="I192" s="21" t="n"/>
      <c r="J192" s="21" t="n"/>
      <c r="K192" s="21" t="n"/>
      <c r="L192" s="21" t="n"/>
      <c r="M192" s="21" t="n"/>
      <c r="N192" s="21" t="n"/>
      <c r="O192" s="19">
        <f>IF(COUNTA(H192,J192:L192)=0,"",IF(COUNTA(H192,J192:L192)&lt;4,"Incomplete: fill all four labels",IF(AND(K192="Yes",J192="P3"),"Error: safety Yes can't be P3",IF(AND(K192="Yes",L192="Explain to customer (no repair needed)"),"Error: safety Yes needs a repair, not explain",IF(AND(I192&lt;&gt;"",I192=H192),"Error: alt_category is the same as category",IF(AND(J192="P1",K192="No"),"Check: P1 with safety No is only OK if the customer is stranded",IF(AND(L192="Stop driving + roadside assistance",K192="No"),"Check: roadside with safety No is only OK if stuck somewhere unsafe",IF(AND(H192="Other / Unclear",L192&lt;&gt;"Contact customer for more information"),"Check: unclear tickets usually need contact customer",IF(AND(L192="Explain to customer (no repair needed)",J192&lt;&gt;"P3"),"Check: no repair needed is usually P3","OK")))))))))</f>
        <v/>
      </c>
    </row>
    <row r="193" ht="15" customHeight="1" s="13">
      <c r="A193" s="19" t="n"/>
      <c r="B193" s="19" t="n"/>
      <c r="C193" s="19" t="n"/>
      <c r="D193" s="19" t="n"/>
      <c r="E193" s="19" t="n"/>
      <c r="F193" s="19" t="n"/>
      <c r="G193" s="19" t="n"/>
      <c r="H193" s="21" t="n"/>
      <c r="I193" s="21" t="n"/>
      <c r="J193" s="21" t="n"/>
      <c r="K193" s="21" t="n"/>
      <c r="L193" s="21" t="n"/>
      <c r="M193" s="21" t="n"/>
      <c r="N193" s="21" t="n"/>
      <c r="O193" s="19">
        <f>IF(COUNTA(H193,J193:L193)=0,"",IF(COUNTA(H193,J193:L193)&lt;4,"Incomplete: fill all four labels",IF(AND(K193="Yes",J193="P3"),"Error: safety Yes can't be P3",IF(AND(K193="Yes",L193="Explain to customer (no repair needed)"),"Error: safety Yes needs a repair, not explain",IF(AND(I193&lt;&gt;"",I193=H193),"Error: alt_category is the same as category",IF(AND(J193="P1",K193="No"),"Check: P1 with safety No is only OK if the customer is stranded",IF(AND(L193="Stop driving + roadside assistance",K193="No"),"Check: roadside with safety No is only OK if stuck somewhere unsafe",IF(AND(H193="Other / Unclear",L193&lt;&gt;"Contact customer for more information"),"Check: unclear tickets usually need contact customer",IF(AND(L193="Explain to customer (no repair needed)",J193&lt;&gt;"P3"),"Check: no repair needed is usually P3","OK")))))))))</f>
        <v/>
      </c>
    </row>
    <row r="194" ht="15" customHeight="1" s="13">
      <c r="A194" s="19" t="n"/>
      <c r="B194" s="19" t="n"/>
      <c r="C194" s="19" t="n"/>
      <c r="D194" s="19" t="n"/>
      <c r="E194" s="19" t="n"/>
      <c r="F194" s="19" t="n"/>
      <c r="G194" s="19" t="n"/>
      <c r="H194" s="21" t="n"/>
      <c r="I194" s="21" t="n"/>
      <c r="J194" s="21" t="n"/>
      <c r="K194" s="21" t="n"/>
      <c r="L194" s="21" t="n"/>
      <c r="M194" s="21" t="n"/>
      <c r="N194" s="21" t="n"/>
      <c r="O194" s="19">
        <f>IF(COUNTA(H194,J194:L194)=0,"",IF(COUNTA(H194,J194:L194)&lt;4,"Incomplete: fill all four labels",IF(AND(K194="Yes",J194="P3"),"Error: safety Yes can't be P3",IF(AND(K194="Yes",L194="Explain to customer (no repair needed)"),"Error: safety Yes needs a repair, not explain",IF(AND(I194&lt;&gt;"",I194=H194),"Error: alt_category is the same as category",IF(AND(J194="P1",K194="No"),"Check: P1 with safety No is only OK if the customer is stranded",IF(AND(L194="Stop driving + roadside assistance",K194="No"),"Check: roadside with safety No is only OK if stuck somewhere unsafe",IF(AND(H194="Other / Unclear",L194&lt;&gt;"Contact customer for more information"),"Check: unclear tickets usually need contact customer",IF(AND(L194="Explain to customer (no repair needed)",J194&lt;&gt;"P3"),"Check: no repair needed is usually P3","OK")))))))))</f>
        <v/>
      </c>
    </row>
    <row r="195" ht="15" customHeight="1" s="13">
      <c r="A195" s="19" t="n"/>
      <c r="B195" s="19" t="n"/>
      <c r="C195" s="19" t="n"/>
      <c r="D195" s="19" t="n"/>
      <c r="E195" s="19" t="n"/>
      <c r="F195" s="19" t="n"/>
      <c r="G195" s="19" t="n"/>
      <c r="H195" s="21" t="n"/>
      <c r="I195" s="21" t="n"/>
      <c r="J195" s="21" t="n"/>
      <c r="K195" s="21" t="n"/>
      <c r="L195" s="21" t="n"/>
      <c r="M195" s="21" t="n"/>
      <c r="N195" s="21" t="n"/>
      <c r="O195" s="19">
        <f>IF(COUNTA(H195,J195:L195)=0,"",IF(COUNTA(H195,J195:L195)&lt;4,"Incomplete: fill all four labels",IF(AND(K195="Yes",J195="P3"),"Error: safety Yes can't be P3",IF(AND(K195="Yes",L195="Explain to customer (no repair needed)"),"Error: safety Yes needs a repair, not explain",IF(AND(I195&lt;&gt;"",I195=H195),"Error: alt_category is the same as category",IF(AND(J195="P1",K195="No"),"Check: P1 with safety No is only OK if the customer is stranded",IF(AND(L195="Stop driving + roadside assistance",K195="No"),"Check: roadside with safety No is only OK if stuck somewhere unsafe",IF(AND(H195="Other / Unclear",L195&lt;&gt;"Contact customer for more information"),"Check: unclear tickets usually need contact customer",IF(AND(L195="Explain to customer (no repair needed)",J195&lt;&gt;"P3"),"Check: no repair needed is usually P3","OK")))))))))</f>
        <v/>
      </c>
    </row>
    <row r="196" ht="15" customHeight="1" s="13">
      <c r="A196" s="19" t="n"/>
      <c r="B196" s="19" t="n"/>
      <c r="C196" s="19" t="n"/>
      <c r="D196" s="19" t="n"/>
      <c r="E196" s="19" t="n"/>
      <c r="F196" s="19" t="n"/>
      <c r="G196" s="19" t="n"/>
      <c r="H196" s="21" t="n"/>
      <c r="I196" s="21" t="n"/>
      <c r="J196" s="21" t="n"/>
      <c r="K196" s="21" t="n"/>
      <c r="L196" s="21" t="n"/>
      <c r="M196" s="21" t="n"/>
      <c r="N196" s="21" t="n"/>
      <c r="O196" s="19">
        <f>IF(COUNTA(H196,J196:L196)=0,"",IF(COUNTA(H196,J196:L196)&lt;4,"Incomplete: fill all four labels",IF(AND(K196="Yes",J196="P3"),"Error: safety Yes can't be P3",IF(AND(K196="Yes",L196="Explain to customer (no repair needed)"),"Error: safety Yes needs a repair, not explain",IF(AND(I196&lt;&gt;"",I196=H196),"Error: alt_category is the same as category",IF(AND(J196="P1",K196="No"),"Check: P1 with safety No is only OK if the customer is stranded",IF(AND(L196="Stop driving + roadside assistance",K196="No"),"Check: roadside with safety No is only OK if stuck somewhere unsafe",IF(AND(H196="Other / Unclear",L196&lt;&gt;"Contact customer for more information"),"Check: unclear tickets usually need contact customer",IF(AND(L196="Explain to customer (no repair needed)",J196&lt;&gt;"P3"),"Check: no repair needed is usually P3","OK")))))))))</f>
        <v/>
      </c>
    </row>
    <row r="197" ht="15" customHeight="1" s="13">
      <c r="A197" s="19" t="n"/>
      <c r="B197" s="19" t="n"/>
      <c r="C197" s="19" t="n"/>
      <c r="D197" s="19" t="n"/>
      <c r="E197" s="19" t="n"/>
      <c r="F197" s="19" t="n"/>
      <c r="G197" s="19" t="n"/>
      <c r="H197" s="21" t="n"/>
      <c r="I197" s="21" t="n"/>
      <c r="J197" s="21" t="n"/>
      <c r="K197" s="21" t="n"/>
      <c r="L197" s="21" t="n"/>
      <c r="M197" s="21" t="n"/>
      <c r="N197" s="21" t="n"/>
      <c r="O197" s="19">
        <f>IF(COUNTA(H197,J197:L197)=0,"",IF(COUNTA(H197,J197:L197)&lt;4,"Incomplete: fill all four labels",IF(AND(K197="Yes",J197="P3"),"Error: safety Yes can't be P3",IF(AND(K197="Yes",L197="Explain to customer (no repair needed)"),"Error: safety Yes needs a repair, not explain",IF(AND(I197&lt;&gt;"",I197=H197),"Error: alt_category is the same as category",IF(AND(J197="P1",K197="No"),"Check: P1 with safety No is only OK if the customer is stranded",IF(AND(L197="Stop driving + roadside assistance",K197="No"),"Check: roadside with safety No is only OK if stuck somewhere unsafe",IF(AND(H197="Other / Unclear",L197&lt;&gt;"Contact customer for more information"),"Check: unclear tickets usually need contact customer",IF(AND(L197="Explain to customer (no repair needed)",J197&lt;&gt;"P3"),"Check: no repair needed is usually P3","OK")))))))))</f>
        <v/>
      </c>
    </row>
    <row r="198" ht="15" customHeight="1" s="13">
      <c r="A198" s="19" t="n"/>
      <c r="B198" s="19" t="n"/>
      <c r="C198" s="19" t="n"/>
      <c r="D198" s="19" t="n"/>
      <c r="E198" s="19" t="n"/>
      <c r="F198" s="19" t="n"/>
      <c r="G198" s="19" t="n"/>
      <c r="H198" s="21" t="n"/>
      <c r="I198" s="21" t="n"/>
      <c r="J198" s="21" t="n"/>
      <c r="K198" s="21" t="n"/>
      <c r="L198" s="21" t="n"/>
      <c r="M198" s="21" t="n"/>
      <c r="N198" s="21" t="n"/>
      <c r="O198" s="19">
        <f>IF(COUNTA(H198,J198:L198)=0,"",IF(COUNTA(H198,J198:L198)&lt;4,"Incomplete: fill all four labels",IF(AND(K198="Yes",J198="P3"),"Error: safety Yes can't be P3",IF(AND(K198="Yes",L198="Explain to customer (no repair needed)"),"Error: safety Yes needs a repair, not explain",IF(AND(I198&lt;&gt;"",I198=H198),"Error: alt_category is the same as category",IF(AND(J198="P1",K198="No"),"Check: P1 with safety No is only OK if the customer is stranded",IF(AND(L198="Stop driving + roadside assistance",K198="No"),"Check: roadside with safety No is only OK if stuck somewhere unsafe",IF(AND(H198="Other / Unclear",L198&lt;&gt;"Contact customer for more information"),"Check: unclear tickets usually need contact customer",IF(AND(L198="Explain to customer (no repair needed)",J198&lt;&gt;"P3"),"Check: no repair needed is usually P3","OK")))))))))</f>
        <v/>
      </c>
    </row>
    <row r="199" ht="15" customHeight="1" s="13">
      <c r="A199" s="19" t="n"/>
      <c r="B199" s="19" t="n"/>
      <c r="C199" s="19" t="n"/>
      <c r="D199" s="19" t="n"/>
      <c r="E199" s="19" t="n"/>
      <c r="F199" s="19" t="n"/>
      <c r="G199" s="19" t="n"/>
      <c r="H199" s="21" t="n"/>
      <c r="I199" s="21" t="n"/>
      <c r="J199" s="21" t="n"/>
      <c r="K199" s="21" t="n"/>
      <c r="L199" s="21" t="n"/>
      <c r="M199" s="21" t="n"/>
      <c r="N199" s="21" t="n"/>
      <c r="O199" s="19">
        <f>IF(COUNTA(H199,J199:L199)=0,"",IF(COUNTA(H199,J199:L199)&lt;4,"Incomplete: fill all four labels",IF(AND(K199="Yes",J199="P3"),"Error: safety Yes can't be P3",IF(AND(K199="Yes",L199="Explain to customer (no repair needed)"),"Error: safety Yes needs a repair, not explain",IF(AND(I199&lt;&gt;"",I199=H199),"Error: alt_category is the same as category",IF(AND(J199="P1",K199="No"),"Check: P1 with safety No is only OK if the customer is stranded",IF(AND(L199="Stop driving + roadside assistance",K199="No"),"Check: roadside with safety No is only OK if stuck somewhere unsafe",IF(AND(H199="Other / Unclear",L199&lt;&gt;"Contact customer for more information"),"Check: unclear tickets usually need contact customer",IF(AND(L199="Explain to customer (no repair needed)",J199&lt;&gt;"P3"),"Check: no repair needed is usually P3","OK")))))))))</f>
        <v/>
      </c>
    </row>
    <row r="200" ht="15" customHeight="1" s="13">
      <c r="A200" s="19" t="n"/>
      <c r="B200" s="19" t="n"/>
      <c r="C200" s="19" t="n"/>
      <c r="D200" s="19" t="n"/>
      <c r="E200" s="19" t="n"/>
      <c r="F200" s="19" t="n"/>
      <c r="G200" s="19" t="n"/>
      <c r="H200" s="21" t="n"/>
      <c r="I200" s="21" t="n"/>
      <c r="J200" s="21" t="n"/>
      <c r="K200" s="21" t="n"/>
      <c r="L200" s="21" t="n"/>
      <c r="M200" s="21" t="n"/>
      <c r="N200" s="21" t="n"/>
      <c r="O200" s="19">
        <f>IF(COUNTA(H200,J200:L200)=0,"",IF(COUNTA(H200,J200:L200)&lt;4,"Incomplete: fill all four labels",IF(AND(K200="Yes",J200="P3"),"Error: safety Yes can't be P3",IF(AND(K200="Yes",L200="Explain to customer (no repair needed)"),"Error: safety Yes needs a repair, not explain",IF(AND(I200&lt;&gt;"",I200=H200),"Error: alt_category is the same as category",IF(AND(J200="P1",K200="No"),"Check: P1 with safety No is only OK if the customer is stranded",IF(AND(L200="Stop driving + roadside assistance",K200="No"),"Check: roadside with safety No is only OK if stuck somewhere unsafe",IF(AND(H200="Other / Unclear",L200&lt;&gt;"Contact customer for more information"),"Check: unclear tickets usually need contact customer",IF(AND(L200="Explain to customer (no repair needed)",J200&lt;&gt;"P3"),"Check: no repair needed is usually P3","OK")))))))))</f>
        <v/>
      </c>
    </row>
    <row r="201" ht="15" customHeight="1" s="13">
      <c r="A201" s="19" t="n"/>
      <c r="B201" s="19" t="n"/>
      <c r="C201" s="19" t="n"/>
      <c r="D201" s="19" t="n"/>
      <c r="E201" s="19" t="n"/>
      <c r="F201" s="19" t="n"/>
      <c r="G201" s="19" t="n"/>
      <c r="H201" s="21" t="n"/>
      <c r="I201" s="21" t="n"/>
      <c r="J201" s="21" t="n"/>
      <c r="K201" s="21" t="n"/>
      <c r="L201" s="21" t="n"/>
      <c r="M201" s="21" t="n"/>
      <c r="N201" s="21" t="n"/>
      <c r="O201" s="19">
        <f>IF(COUNTA(H201,J201:L201)=0,"",IF(COUNTA(H201,J201:L201)&lt;4,"Incomplete: fill all four labels",IF(AND(K201="Yes",J201="P3"),"Error: safety Yes can't be P3",IF(AND(K201="Yes",L201="Explain to customer (no repair needed)"),"Error: safety Yes needs a repair, not explain",IF(AND(I201&lt;&gt;"",I201=H201),"Error: alt_category is the same as category",IF(AND(J201="P1",K201="No"),"Check: P1 with safety No is only OK if the customer is stranded",IF(AND(L201="Stop driving + roadside assistance",K201="No"),"Check: roadside with safety No is only OK if stuck somewhere unsafe",IF(AND(H201="Other / Unclear",L201&lt;&gt;"Contact customer for more information"),"Check: unclear tickets usually need contact customer",IF(AND(L201="Explain to customer (no repair needed)",J201&lt;&gt;"P3"),"Check: no repair needed is usually P3","OK")))))))))</f>
        <v/>
      </c>
    </row>
  </sheetData>
  <autoFilter ref="A1:O201"/>
  <conditionalFormatting sqref="O2:O201">
    <cfRule type="expression" rank="0" priority="2" equalAverage="0" aboveAverage="0" dxfId="8" text="" percent="0" bottom="0">
      <formula>LEFT(O2,5)="Error"</formula>
    </cfRule>
    <cfRule type="expression" rank="0" priority="3" equalAverage="0" aboveAverage="0" dxfId="9" text="" percent="0" bottom="0">
      <formula>LEFT(O2,5)="Check"</formula>
    </cfRule>
    <cfRule type="expression" rank="0" priority="4" equalAverage="0" aboveAverage="0" dxfId="10" text="" percent="0" bottom="0">
      <formula>O2="OK"</formula>
    </cfRule>
    <cfRule type="expression" rank="0" priority="5" equalAverage="0" aboveAverage="0" dxfId="11" text="" percent="0" bottom="0">
      <formula>LEFT(O2,10)="Incomplete"</formula>
    </cfRule>
  </conditionalFormatting>
  <dataValidations count="6">
    <dataValidation sqref="H2:H201" showDropDown="0" showInputMessage="0" showErrorMessage="1" allowBlank="1" errorTitle="Pick from the list" error="Choose a value from the drop-down. To add a new option, edit the Lists tab." type="list" errorStyle="stop" operator="between">
      <formula1>Lists!$A$2:$A$9</formula1>
      <formula2>0</formula2>
    </dataValidation>
    <dataValidation sqref="I2:I201" showDropDown="0" showInputMessage="0" showErrorMessage="1" allowBlank="1" errorTitle="Pick from the list" error="Choose a value from the drop-down. To add a new option, edit the Lists tab." type="list" errorStyle="stop" operator="between">
      <formula1>Lists!$A$2:$A$9</formula1>
      <formula2>0</formula2>
    </dataValidation>
    <dataValidation sqref="J2:J201" showDropDown="0" showInputMessage="0" showErrorMessage="1" allowBlank="1" errorTitle="Pick from the list" error="Choose a value from the drop-down. To add a new option, edit the Lists tab." type="list" errorStyle="stop" operator="between">
      <formula1>Lists!$B$2:$B$4</formula1>
      <formula2>0</formula2>
    </dataValidation>
    <dataValidation sqref="K2:K201" showDropDown="0" showInputMessage="0" showErrorMessage="1" allowBlank="1" errorTitle="Pick from the list" error="Choose a value from the drop-down. To add a new option, edit the Lists tab." type="list" errorStyle="stop" operator="between">
      <formula1>Lists!$C$2:$C$3</formula1>
      <formula2>0</formula2>
    </dataValidation>
    <dataValidation sqref="L2:L201" showDropDown="0" showInputMessage="0" showErrorMessage="1" allowBlank="1" errorTitle="Pick from the list" error="Choose a value from the drop-down. To add a new option, edit the Lists tab." type="list" errorStyle="stop" operator="between">
      <formula1>Lists!$D$2:$D$7</formula1>
      <formula2>0</formula2>
    </dataValidation>
    <dataValidation sqref="M2:M201" showDropDown="0" showInputMessage="0" showErrorMessage="1" allowBlank="1" errorTitle="Pick from the list" error="Choose a value from the drop-down. To add a new option, edit the Lists tab." type="list" errorStyle="stop" operator="between">
      <formula1>Lists!$E$2:$E$2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2" min="1" max="5"/>
  </cols>
  <sheetData>
    <row r="1" ht="15" customHeight="1" s="13">
      <c r="A1" s="22" t="inlineStr">
        <is>
          <t>Category</t>
        </is>
      </c>
      <c r="B1" s="22" t="inlineStr">
        <is>
          <t>Priority</t>
        </is>
      </c>
      <c r="C1" s="22" t="inlineStr">
        <is>
          <t>Safety-critical</t>
        </is>
      </c>
      <c r="D1" s="22" t="inlineStr">
        <is>
          <t>Next step</t>
        </is>
      </c>
      <c r="E1" s="22" t="inlineStr">
        <is>
          <t>Hesitated</t>
        </is>
      </c>
    </row>
    <row r="2" ht="15" customHeight="1" s="13">
      <c r="A2" s="23" t="inlineStr">
        <is>
          <t>Charging</t>
        </is>
      </c>
      <c r="B2" s="23" t="inlineStr">
        <is>
          <t>P1</t>
        </is>
      </c>
      <c r="C2" s="23" t="inlineStr">
        <is>
          <t>Yes</t>
        </is>
      </c>
      <c r="D2" s="23" t="inlineStr">
        <is>
          <t>Stop driving + roadside assistance</t>
        </is>
      </c>
      <c r="E2" s="23" t="inlineStr">
        <is>
          <t>?</t>
        </is>
      </c>
    </row>
    <row r="3" ht="15" customHeight="1" s="13">
      <c r="A3" s="23" t="inlineStr">
        <is>
          <t>High-voltage battery &amp; drive</t>
        </is>
      </c>
      <c r="B3" s="23" t="inlineStr">
        <is>
          <t>P2</t>
        </is>
      </c>
      <c r="C3" s="23" t="inlineStr">
        <is>
          <t>No</t>
        </is>
      </c>
      <c r="D3" s="23" t="inlineStr">
        <is>
          <t>Dispatch mobile service</t>
        </is>
      </c>
    </row>
    <row r="4" ht="15" customHeight="1" s="13">
      <c r="A4" s="23" t="inlineStr">
        <is>
          <t>Chassis</t>
        </is>
      </c>
      <c r="B4" s="23" t="inlineStr">
        <is>
          <t>P3</t>
        </is>
      </c>
      <c r="D4" s="23" t="inlineStr">
        <is>
          <t>Schedule service center visit</t>
        </is>
      </c>
    </row>
    <row r="5" ht="15" customHeight="1" s="13">
      <c r="A5" s="23" t="inlineStr">
        <is>
          <t>Software &amp; infotainment</t>
        </is>
      </c>
      <c r="D5" s="23" t="inlineStr">
        <is>
          <t>Remote diagnosis or software fix</t>
        </is>
      </c>
    </row>
    <row r="6" ht="15" customHeight="1" s="13">
      <c r="A6" s="23" t="inlineStr">
        <is>
          <t>Driver assistance</t>
        </is>
      </c>
      <c r="D6" s="23" t="inlineStr">
        <is>
          <t>Contact customer for more information</t>
        </is>
      </c>
    </row>
    <row r="7" ht="15" customHeight="1" s="13">
      <c r="A7" s="23" t="inlineStr">
        <is>
          <t>Electrical (12V)</t>
        </is>
      </c>
      <c r="D7" s="23" t="inlineStr">
        <is>
          <t>Explain to customer (no repair needed)</t>
        </is>
      </c>
    </row>
    <row r="8" ht="15" customHeight="1" s="13">
      <c r="A8" s="23" t="inlineStr">
        <is>
          <t>Body &amp; cabin</t>
        </is>
      </c>
    </row>
    <row r="9" ht="15" customHeight="1" s="13">
      <c r="A9" s="23" t="inlineStr">
        <is>
          <t>Other / Unclear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2026-10-25T20:48:42Z</dcterms:created>
  <dcterms:modified xmlns:dcterms="http://purl.org/dc/terms/" xmlns:xsi="http://www.w3.org/2001/XMLSchema-instance" xsi:type="dcterms:W3CDTF">2026-10-28T16:50:40Z</dcterms:modified>
  <cp:revision>0</cp:revision>
</cp:coreProperties>
</file>